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C:\Users\Harvey\Desktop\vertex\Volume 1 Issue 1 January 2026\datasets\"/>
    </mc:Choice>
  </mc:AlternateContent>
  <xr:revisionPtr revIDLastSave="0" documentId="13_ncr:1_{E889955A-1BA8-4BD3-8462-5FFDD81CD5CC}" xr6:coauthVersionLast="47" xr6:coauthVersionMax="47" xr10:uidLastSave="{00000000-0000-0000-0000-000000000000}"/>
  <bookViews>
    <workbookView xWindow="-108" yWindow="-108" windowWidth="23256" windowHeight="12456" xr2:uid="{21591422-BD58-4D26-9535-5BA49D281854}"/>
  </bookViews>
  <sheets>
    <sheet name="Current Level of Government Sys" sheetId="2" r:id="rId1"/>
    <sheet name="IT Maturity Level" sheetId="8" r:id="rId2"/>
  </sheets>
  <definedNames>
    <definedName name="_xlnm._FilterDatabase" localSheetId="0" hidden="1">'Current Level of Government Sys'!$A$10:$V$162</definedName>
    <definedName name="_xlnm._FilterDatabase" localSheetId="1" hidden="1">'IT Maturity Level'!$A$6:$K$134</definedName>
    <definedName name="OLE_LINK1" localSheetId="0">'Current Level of Government Sys'!$A$79</definedName>
    <definedName name="OLE_LINK1" localSheetId="1">'IT Maturity Level'!$A$63</definedName>
    <definedName name="OLE_LINK2" localSheetId="0">'Current Level of Government Sys'!$A$123</definedName>
    <definedName name="OLE_LINK2" localSheetId="1">'IT Maturity Level'!$A$101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34" i="8" l="1"/>
  <c r="K133" i="8"/>
  <c r="K132" i="8"/>
  <c r="K131" i="8"/>
  <c r="K130" i="8"/>
  <c r="K129" i="8"/>
  <c r="K128" i="8"/>
  <c r="K127" i="8"/>
  <c r="K126" i="8"/>
  <c r="K125" i="8"/>
  <c r="K124" i="8"/>
  <c r="K123" i="8"/>
  <c r="K122" i="8"/>
  <c r="K121" i="8"/>
  <c r="K120" i="8"/>
  <c r="K119" i="8"/>
  <c r="K118" i="8"/>
  <c r="K117" i="8"/>
  <c r="K116" i="8"/>
  <c r="K115" i="8"/>
  <c r="K114" i="8"/>
  <c r="K113" i="8"/>
  <c r="K112" i="8"/>
  <c r="K111" i="8"/>
  <c r="K110" i="8"/>
  <c r="K109" i="8"/>
  <c r="K108" i="8"/>
  <c r="K107" i="8"/>
  <c r="K106" i="8"/>
  <c r="K105" i="8"/>
  <c r="K104" i="8"/>
  <c r="K103" i="8"/>
  <c r="K102" i="8"/>
  <c r="K100" i="8"/>
  <c r="K99" i="8"/>
  <c r="K98" i="8"/>
  <c r="K97" i="8"/>
  <c r="K96" i="8"/>
  <c r="K95" i="8"/>
  <c r="K94" i="8"/>
  <c r="K93" i="8"/>
  <c r="K92" i="8"/>
  <c r="K91" i="8"/>
  <c r="K90" i="8"/>
  <c r="K89" i="8"/>
  <c r="K88" i="8"/>
  <c r="K87" i="8"/>
  <c r="K86" i="8"/>
  <c r="K85" i="8"/>
  <c r="K84" i="8"/>
  <c r="K83" i="8"/>
  <c r="K82" i="8"/>
  <c r="K81" i="8"/>
  <c r="K80" i="8"/>
  <c r="K79" i="8"/>
  <c r="K78" i="8"/>
  <c r="K77" i="8"/>
  <c r="K76" i="8"/>
  <c r="K75" i="8"/>
  <c r="K74" i="8"/>
  <c r="K73" i="8"/>
  <c r="K72" i="8"/>
  <c r="K71" i="8"/>
  <c r="K70" i="8"/>
  <c r="K69" i="8"/>
  <c r="K68" i="8"/>
  <c r="K67" i="8"/>
  <c r="K66" i="8"/>
  <c r="K65" i="8"/>
  <c r="K64" i="8"/>
  <c r="K62" i="8"/>
  <c r="K61" i="8"/>
  <c r="K60" i="8"/>
  <c r="K59" i="8"/>
  <c r="K58" i="8"/>
  <c r="K57" i="8"/>
  <c r="K56" i="8"/>
  <c r="K55" i="8"/>
  <c r="K54" i="8"/>
  <c r="K53" i="8"/>
  <c r="K52" i="8"/>
  <c r="K51" i="8"/>
  <c r="K50" i="8"/>
  <c r="K49" i="8"/>
  <c r="K48" i="8"/>
  <c r="K47" i="8"/>
  <c r="K46" i="8"/>
  <c r="K45" i="8"/>
  <c r="K44" i="8"/>
  <c r="K43" i="8"/>
  <c r="K42" i="8"/>
  <c r="K41" i="8"/>
  <c r="K40" i="8"/>
  <c r="K39" i="8"/>
  <c r="K38" i="8"/>
  <c r="K37" i="8"/>
  <c r="K35" i="8"/>
  <c r="K34" i="8"/>
  <c r="K33" i="8"/>
  <c r="K32" i="8"/>
  <c r="K31" i="8"/>
  <c r="K30" i="8"/>
  <c r="K29" i="8"/>
  <c r="K28" i="8"/>
  <c r="K27" i="8"/>
  <c r="K26" i="8"/>
  <c r="K25" i="8"/>
  <c r="K24" i="8"/>
  <c r="K23" i="8"/>
  <c r="K22" i="8"/>
  <c r="K21" i="8"/>
  <c r="K20" i="8"/>
  <c r="K19" i="8"/>
  <c r="K18" i="8"/>
  <c r="K17" i="8"/>
  <c r="K16" i="8"/>
  <c r="K15" i="8"/>
  <c r="K14" i="8"/>
  <c r="K13" i="8"/>
  <c r="K12" i="8"/>
  <c r="K11" i="8"/>
  <c r="K10" i="8"/>
  <c r="K9" i="8"/>
  <c r="K8" i="8"/>
  <c r="I134" i="8"/>
  <c r="I133" i="8"/>
  <c r="I132" i="8"/>
  <c r="I131" i="8"/>
  <c r="I130" i="8"/>
  <c r="I129" i="8"/>
  <c r="I128" i="8"/>
  <c r="I127" i="8"/>
  <c r="I126" i="8"/>
  <c r="I125" i="8"/>
  <c r="I124" i="8"/>
  <c r="I123" i="8"/>
  <c r="I122" i="8"/>
  <c r="I121" i="8"/>
  <c r="I120" i="8"/>
  <c r="I119" i="8"/>
  <c r="I118" i="8"/>
  <c r="I117" i="8"/>
  <c r="I116" i="8"/>
  <c r="I115" i="8"/>
  <c r="I114" i="8"/>
  <c r="I113" i="8"/>
  <c r="I112" i="8"/>
  <c r="I111" i="8"/>
  <c r="I110" i="8"/>
  <c r="I109" i="8"/>
  <c r="I108" i="8"/>
  <c r="I107" i="8"/>
  <c r="I106" i="8"/>
  <c r="I105" i="8"/>
  <c r="I104" i="8"/>
  <c r="I103" i="8"/>
  <c r="I102" i="8"/>
  <c r="I100" i="8"/>
  <c r="I99" i="8"/>
  <c r="I98" i="8"/>
  <c r="I97" i="8"/>
  <c r="I96" i="8"/>
  <c r="I95" i="8"/>
  <c r="I94" i="8"/>
  <c r="I93" i="8"/>
  <c r="I92" i="8"/>
  <c r="I91" i="8"/>
  <c r="I90" i="8"/>
  <c r="I89" i="8"/>
  <c r="I88" i="8"/>
  <c r="I87" i="8"/>
  <c r="I86" i="8"/>
  <c r="I85" i="8"/>
  <c r="I84" i="8"/>
  <c r="I83" i="8"/>
  <c r="I82" i="8"/>
  <c r="I81" i="8"/>
  <c r="I80" i="8"/>
  <c r="I79" i="8"/>
  <c r="I78" i="8"/>
  <c r="I77" i="8"/>
  <c r="I76" i="8"/>
  <c r="I75" i="8"/>
  <c r="I74" i="8"/>
  <c r="I73" i="8"/>
  <c r="I72" i="8"/>
  <c r="I71" i="8"/>
  <c r="I70" i="8"/>
  <c r="I69" i="8"/>
  <c r="I68" i="8"/>
  <c r="I67" i="8"/>
  <c r="I66" i="8"/>
  <c r="I65" i="8"/>
  <c r="I64" i="8"/>
  <c r="I62" i="8"/>
  <c r="I61" i="8"/>
  <c r="I60" i="8"/>
  <c r="I59" i="8"/>
  <c r="I58" i="8"/>
  <c r="I57" i="8"/>
  <c r="I56" i="8"/>
  <c r="I55" i="8"/>
  <c r="I54" i="8"/>
  <c r="I53" i="8"/>
  <c r="I52" i="8"/>
  <c r="I51" i="8"/>
  <c r="I50" i="8"/>
  <c r="I49" i="8"/>
  <c r="I48" i="8"/>
  <c r="I47" i="8"/>
  <c r="I46" i="8"/>
  <c r="I45" i="8"/>
  <c r="I44" i="8"/>
  <c r="I43" i="8"/>
  <c r="I42" i="8"/>
  <c r="I41" i="8"/>
  <c r="I40" i="8"/>
  <c r="I39" i="8"/>
  <c r="I38" i="8"/>
  <c r="I37" i="8"/>
  <c r="I35" i="8"/>
  <c r="I34" i="8"/>
  <c r="I33" i="8"/>
  <c r="I32" i="8"/>
  <c r="I31" i="8"/>
  <c r="I30" i="8"/>
  <c r="I29" i="8"/>
  <c r="I28" i="8"/>
  <c r="I27" i="8"/>
  <c r="I26" i="8"/>
  <c r="I25" i="8"/>
  <c r="I24" i="8"/>
  <c r="I23" i="8"/>
  <c r="I22" i="8"/>
  <c r="I21" i="8"/>
  <c r="I20" i="8"/>
  <c r="I19" i="8"/>
  <c r="I18" i="8"/>
  <c r="I17" i="8"/>
  <c r="I16" i="8"/>
  <c r="I15" i="8"/>
  <c r="I14" i="8"/>
  <c r="I13" i="8"/>
  <c r="I12" i="8"/>
  <c r="I11" i="8"/>
  <c r="I10" i="8"/>
  <c r="I9" i="8"/>
  <c r="I8" i="8"/>
  <c r="G134" i="8"/>
  <c r="G133" i="8"/>
  <c r="G132" i="8"/>
  <c r="G131" i="8"/>
  <c r="G130" i="8"/>
  <c r="G129" i="8"/>
  <c r="G128" i="8"/>
  <c r="G127" i="8"/>
  <c r="G126" i="8"/>
  <c r="G125" i="8"/>
  <c r="G124" i="8"/>
  <c r="G123" i="8"/>
  <c r="G122" i="8"/>
  <c r="G121" i="8"/>
  <c r="G120" i="8"/>
  <c r="G119" i="8"/>
  <c r="G118" i="8"/>
  <c r="G117" i="8"/>
  <c r="G116" i="8"/>
  <c r="G115" i="8"/>
  <c r="G114" i="8"/>
  <c r="G113" i="8"/>
  <c r="G112" i="8"/>
  <c r="G111" i="8"/>
  <c r="G110" i="8"/>
  <c r="G109" i="8"/>
  <c r="G108" i="8"/>
  <c r="G107" i="8"/>
  <c r="G106" i="8"/>
  <c r="G105" i="8"/>
  <c r="G104" i="8"/>
  <c r="G103" i="8"/>
  <c r="G102" i="8"/>
  <c r="G100" i="8"/>
  <c r="G99" i="8"/>
  <c r="G98" i="8"/>
  <c r="G97" i="8"/>
  <c r="G96" i="8"/>
  <c r="G95" i="8"/>
  <c r="G94" i="8"/>
  <c r="G93" i="8"/>
  <c r="G92" i="8"/>
  <c r="G91" i="8"/>
  <c r="G90" i="8"/>
  <c r="G89" i="8"/>
  <c r="G88" i="8"/>
  <c r="G87" i="8"/>
  <c r="G86" i="8"/>
  <c r="G85" i="8"/>
  <c r="G84" i="8"/>
  <c r="G83" i="8"/>
  <c r="G82" i="8"/>
  <c r="G81" i="8"/>
  <c r="G80" i="8"/>
  <c r="G79" i="8"/>
  <c r="G78" i="8"/>
  <c r="G77" i="8"/>
  <c r="G76" i="8"/>
  <c r="G75" i="8"/>
  <c r="G74" i="8"/>
  <c r="G73" i="8"/>
  <c r="G72" i="8"/>
  <c r="G71" i="8"/>
  <c r="G70" i="8"/>
  <c r="G69" i="8"/>
  <c r="G68" i="8"/>
  <c r="G67" i="8"/>
  <c r="G66" i="8"/>
  <c r="G65" i="8"/>
  <c r="G64" i="8"/>
  <c r="G62" i="8"/>
  <c r="G61" i="8"/>
  <c r="G60" i="8"/>
  <c r="G59" i="8"/>
  <c r="G58" i="8"/>
  <c r="G57" i="8"/>
  <c r="G56" i="8"/>
  <c r="G55" i="8"/>
  <c r="G54" i="8"/>
  <c r="G53" i="8"/>
  <c r="G52" i="8"/>
  <c r="G51" i="8"/>
  <c r="G50" i="8"/>
  <c r="G49" i="8"/>
  <c r="G48" i="8"/>
  <c r="G47" i="8"/>
  <c r="G46" i="8"/>
  <c r="G45" i="8"/>
  <c r="G44" i="8"/>
  <c r="G43" i="8"/>
  <c r="G42" i="8"/>
  <c r="G41" i="8"/>
  <c r="G40" i="8"/>
  <c r="G39" i="8"/>
  <c r="G38" i="8"/>
  <c r="G37" i="8"/>
  <c r="G35" i="8"/>
  <c r="G34" i="8"/>
  <c r="G33" i="8"/>
  <c r="G32" i="8"/>
  <c r="G31" i="8"/>
  <c r="G30" i="8"/>
  <c r="G29" i="8"/>
  <c r="G28" i="8"/>
  <c r="G27" i="8"/>
  <c r="G26" i="8"/>
  <c r="G25" i="8"/>
  <c r="G24" i="8"/>
  <c r="G23" i="8"/>
  <c r="G22" i="8"/>
  <c r="G21" i="8"/>
  <c r="G20" i="8"/>
  <c r="G19" i="8"/>
  <c r="G18" i="8"/>
  <c r="G17" i="8"/>
  <c r="G16" i="8"/>
  <c r="G15" i="8"/>
  <c r="G14" i="8"/>
  <c r="G13" i="8"/>
  <c r="G12" i="8"/>
  <c r="G11" i="8"/>
  <c r="G10" i="8"/>
  <c r="G9" i="8"/>
  <c r="G8" i="8"/>
  <c r="E134" i="8"/>
  <c r="E133" i="8"/>
  <c r="E132" i="8"/>
  <c r="E131" i="8"/>
  <c r="E130" i="8"/>
  <c r="E129" i="8"/>
  <c r="E128" i="8"/>
  <c r="E127" i="8"/>
  <c r="E126" i="8"/>
  <c r="E125" i="8"/>
  <c r="E124" i="8"/>
  <c r="E123" i="8"/>
  <c r="E122" i="8"/>
  <c r="E121" i="8"/>
  <c r="E120" i="8"/>
  <c r="E119" i="8"/>
  <c r="E118" i="8"/>
  <c r="E117" i="8"/>
  <c r="E116" i="8"/>
  <c r="E115" i="8"/>
  <c r="E114" i="8"/>
  <c r="E113" i="8"/>
  <c r="E112" i="8"/>
  <c r="E111" i="8"/>
  <c r="E110" i="8"/>
  <c r="E109" i="8"/>
  <c r="E108" i="8"/>
  <c r="E107" i="8"/>
  <c r="E106" i="8"/>
  <c r="E105" i="8"/>
  <c r="E104" i="8"/>
  <c r="E103" i="8"/>
  <c r="E102" i="8"/>
  <c r="E100" i="8"/>
  <c r="E99" i="8"/>
  <c r="E98" i="8"/>
  <c r="E97" i="8"/>
  <c r="E96" i="8"/>
  <c r="E95" i="8"/>
  <c r="E94" i="8"/>
  <c r="E93" i="8"/>
  <c r="E92" i="8"/>
  <c r="E91" i="8"/>
  <c r="E90" i="8"/>
  <c r="E89" i="8"/>
  <c r="E88" i="8"/>
  <c r="E87" i="8"/>
  <c r="E86" i="8"/>
  <c r="E85" i="8"/>
  <c r="E84" i="8"/>
  <c r="E83" i="8"/>
  <c r="E82" i="8"/>
  <c r="E81" i="8"/>
  <c r="E80" i="8"/>
  <c r="E79" i="8"/>
  <c r="E78" i="8"/>
  <c r="E77" i="8"/>
  <c r="E76" i="8"/>
  <c r="E75" i="8"/>
  <c r="E74" i="8"/>
  <c r="E73" i="8"/>
  <c r="E72" i="8"/>
  <c r="E71" i="8"/>
  <c r="E70" i="8"/>
  <c r="E69" i="8"/>
  <c r="E68" i="8"/>
  <c r="E67" i="8"/>
  <c r="E66" i="8"/>
  <c r="E65" i="8"/>
  <c r="E64" i="8"/>
  <c r="E62" i="8"/>
  <c r="E61" i="8"/>
  <c r="E60" i="8"/>
  <c r="E59" i="8"/>
  <c r="E58" i="8"/>
  <c r="E57" i="8"/>
  <c r="E56" i="8"/>
  <c r="E55" i="8"/>
  <c r="E54" i="8"/>
  <c r="E53" i="8"/>
  <c r="E52" i="8"/>
  <c r="E51" i="8"/>
  <c r="E50" i="8"/>
  <c r="E49" i="8"/>
  <c r="E48" i="8"/>
  <c r="E47" i="8"/>
  <c r="E46" i="8"/>
  <c r="E45" i="8"/>
  <c r="E44" i="8"/>
  <c r="E43" i="8"/>
  <c r="E42" i="8"/>
  <c r="E41" i="8"/>
  <c r="E40" i="8"/>
  <c r="E39" i="8"/>
  <c r="E38" i="8"/>
  <c r="E37" i="8"/>
  <c r="E35" i="8"/>
  <c r="E34" i="8"/>
  <c r="E33" i="8"/>
  <c r="E32" i="8"/>
  <c r="E31" i="8"/>
  <c r="E30" i="8"/>
  <c r="E29" i="8"/>
  <c r="E28" i="8"/>
  <c r="E27" i="8"/>
  <c r="E26" i="8"/>
  <c r="E25" i="8"/>
  <c r="E24" i="8"/>
  <c r="E23" i="8"/>
  <c r="E22" i="8"/>
  <c r="E21" i="8"/>
  <c r="E20" i="8"/>
  <c r="E19" i="8"/>
  <c r="E18" i="8"/>
  <c r="E17" i="8"/>
  <c r="E16" i="8"/>
  <c r="E15" i="8"/>
  <c r="E14" i="8"/>
  <c r="E13" i="8"/>
  <c r="E12" i="8"/>
  <c r="E11" i="8"/>
  <c r="E10" i="8"/>
  <c r="E9" i="8"/>
  <c r="E8" i="8"/>
  <c r="L12" i="2"/>
  <c r="J12" i="2"/>
  <c r="H12" i="2"/>
  <c r="J3" i="2" s="1"/>
  <c r="L3" i="2" s="1"/>
  <c r="H15" i="2"/>
  <c r="D12" i="2"/>
  <c r="F12" i="2"/>
  <c r="K13" i="2"/>
  <c r="L120" i="2" l="1"/>
  <c r="L156" i="2"/>
  <c r="K84" i="2"/>
  <c r="K85" i="2"/>
  <c r="K86" i="2"/>
  <c r="K87" i="2"/>
  <c r="K88" i="2"/>
  <c r="K90" i="2"/>
  <c r="K91" i="2"/>
  <c r="K92" i="2"/>
  <c r="K93" i="2"/>
  <c r="K94" i="2"/>
  <c r="K95" i="2"/>
  <c r="K97" i="2"/>
  <c r="K98" i="2"/>
  <c r="K99" i="2"/>
  <c r="K100" i="2"/>
  <c r="K101" i="2"/>
  <c r="K102" i="2"/>
  <c r="K103" i="2"/>
  <c r="K104" i="2"/>
  <c r="K106" i="2"/>
  <c r="K107" i="2"/>
  <c r="K108" i="2"/>
  <c r="K109" i="2"/>
  <c r="K110" i="2"/>
  <c r="K111" i="2"/>
  <c r="K112" i="2"/>
  <c r="K113" i="2"/>
  <c r="K114" i="2"/>
  <c r="K115" i="2"/>
  <c r="K117" i="2"/>
  <c r="K118" i="2"/>
  <c r="K119" i="2"/>
  <c r="K120" i="2"/>
  <c r="K121" i="2"/>
  <c r="K122" i="2"/>
  <c r="K123" i="2"/>
  <c r="K125" i="2"/>
  <c r="K126" i="2"/>
  <c r="K127" i="2"/>
  <c r="K128" i="2"/>
  <c r="K130" i="2"/>
  <c r="K131" i="2"/>
  <c r="K132" i="2"/>
  <c r="K133" i="2"/>
  <c r="K134" i="2"/>
  <c r="K136" i="2"/>
  <c r="K137" i="2"/>
  <c r="K138" i="2"/>
  <c r="K139" i="2"/>
  <c r="K141" i="2"/>
  <c r="K142" i="2"/>
  <c r="K143" i="2"/>
  <c r="K144" i="2"/>
  <c r="K145" i="2"/>
  <c r="K146" i="2"/>
  <c r="K147" i="2"/>
  <c r="K148" i="2"/>
  <c r="K150" i="2"/>
  <c r="K151" i="2"/>
  <c r="K152" i="2"/>
  <c r="K153" i="2"/>
  <c r="K154" i="2"/>
  <c r="K155" i="2"/>
  <c r="K156" i="2"/>
  <c r="K158" i="2"/>
  <c r="K159" i="2"/>
  <c r="K160" i="2"/>
  <c r="K161" i="2"/>
  <c r="K162" i="2"/>
  <c r="I84" i="2"/>
  <c r="I85" i="2"/>
  <c r="I86" i="2"/>
  <c r="I87" i="2"/>
  <c r="I88" i="2"/>
  <c r="I90" i="2"/>
  <c r="I91" i="2"/>
  <c r="I92" i="2"/>
  <c r="I93" i="2"/>
  <c r="I94" i="2"/>
  <c r="I95" i="2"/>
  <c r="I97" i="2"/>
  <c r="I98" i="2"/>
  <c r="I99" i="2"/>
  <c r="I100" i="2"/>
  <c r="I101" i="2"/>
  <c r="I102" i="2"/>
  <c r="I103" i="2"/>
  <c r="I104" i="2"/>
  <c r="I106" i="2"/>
  <c r="I107" i="2"/>
  <c r="I108" i="2"/>
  <c r="I109" i="2"/>
  <c r="I110" i="2"/>
  <c r="I111" i="2"/>
  <c r="I112" i="2"/>
  <c r="I113" i="2"/>
  <c r="I114" i="2"/>
  <c r="I115" i="2"/>
  <c r="I117" i="2"/>
  <c r="I118" i="2"/>
  <c r="I119" i="2"/>
  <c r="I120" i="2"/>
  <c r="I121" i="2"/>
  <c r="I122" i="2"/>
  <c r="I123" i="2"/>
  <c r="I125" i="2"/>
  <c r="I126" i="2"/>
  <c r="I127" i="2"/>
  <c r="I128" i="2"/>
  <c r="I130" i="2"/>
  <c r="I131" i="2"/>
  <c r="I132" i="2"/>
  <c r="I133" i="2"/>
  <c r="I134" i="2"/>
  <c r="I136" i="2"/>
  <c r="I137" i="2"/>
  <c r="I138" i="2"/>
  <c r="I139" i="2"/>
  <c r="I141" i="2"/>
  <c r="I142" i="2"/>
  <c r="I143" i="2"/>
  <c r="I144" i="2"/>
  <c r="I145" i="2"/>
  <c r="I146" i="2"/>
  <c r="I147" i="2"/>
  <c r="I148" i="2"/>
  <c r="I150" i="2"/>
  <c r="I151" i="2"/>
  <c r="I152" i="2"/>
  <c r="I153" i="2"/>
  <c r="I154" i="2"/>
  <c r="I155" i="2"/>
  <c r="I156" i="2"/>
  <c r="I158" i="2"/>
  <c r="I159" i="2"/>
  <c r="I160" i="2"/>
  <c r="I161" i="2"/>
  <c r="I162" i="2"/>
  <c r="G84" i="2"/>
  <c r="G85" i="2"/>
  <c r="G86" i="2"/>
  <c r="G87" i="2"/>
  <c r="G88" i="2"/>
  <c r="G90" i="2"/>
  <c r="G91" i="2"/>
  <c r="G92" i="2"/>
  <c r="G93" i="2"/>
  <c r="G94" i="2"/>
  <c r="G95" i="2"/>
  <c r="G97" i="2"/>
  <c r="G98" i="2"/>
  <c r="G99" i="2"/>
  <c r="G100" i="2"/>
  <c r="G101" i="2"/>
  <c r="G102" i="2"/>
  <c r="G103" i="2"/>
  <c r="G104" i="2"/>
  <c r="G106" i="2"/>
  <c r="G107" i="2"/>
  <c r="G108" i="2"/>
  <c r="G109" i="2"/>
  <c r="G110" i="2"/>
  <c r="G111" i="2"/>
  <c r="G112" i="2"/>
  <c r="G113" i="2"/>
  <c r="G114" i="2"/>
  <c r="G115" i="2"/>
  <c r="G117" i="2"/>
  <c r="G118" i="2"/>
  <c r="G119" i="2"/>
  <c r="G120" i="2"/>
  <c r="G121" i="2"/>
  <c r="G122" i="2"/>
  <c r="G123" i="2"/>
  <c r="G125" i="2"/>
  <c r="G126" i="2"/>
  <c r="G127" i="2"/>
  <c r="G128" i="2"/>
  <c r="G130" i="2"/>
  <c r="G131" i="2"/>
  <c r="G132" i="2"/>
  <c r="G133" i="2"/>
  <c r="G134" i="2"/>
  <c r="G136" i="2"/>
  <c r="G137" i="2"/>
  <c r="G138" i="2"/>
  <c r="G139" i="2"/>
  <c r="G141" i="2"/>
  <c r="G142" i="2"/>
  <c r="G143" i="2"/>
  <c r="G144" i="2"/>
  <c r="G145" i="2"/>
  <c r="G146" i="2"/>
  <c r="G147" i="2"/>
  <c r="G148" i="2"/>
  <c r="G150" i="2"/>
  <c r="G151" i="2"/>
  <c r="G152" i="2"/>
  <c r="G153" i="2"/>
  <c r="G154" i="2"/>
  <c r="G155" i="2"/>
  <c r="G156" i="2"/>
  <c r="G158" i="2"/>
  <c r="G159" i="2"/>
  <c r="G160" i="2"/>
  <c r="G161" i="2"/>
  <c r="G162" i="2"/>
  <c r="L14" i="2"/>
  <c r="L16" i="2"/>
  <c r="L17" i="2"/>
  <c r="L18" i="2"/>
  <c r="L19" i="2"/>
  <c r="L20" i="2"/>
  <c r="L22" i="2"/>
  <c r="L23" i="2"/>
  <c r="L24" i="2"/>
  <c r="L25" i="2"/>
  <c r="L27" i="2"/>
  <c r="L28" i="2"/>
  <c r="L29" i="2"/>
  <c r="L30" i="2"/>
  <c r="L31" i="2"/>
  <c r="L32" i="2"/>
  <c r="L34" i="2"/>
  <c r="L35" i="2"/>
  <c r="L36" i="2"/>
  <c r="L37" i="2"/>
  <c r="L38" i="2"/>
  <c r="L39" i="2"/>
  <c r="L41" i="2"/>
  <c r="L42" i="2"/>
  <c r="L43" i="2"/>
  <c r="L44" i="2"/>
  <c r="L45" i="2"/>
  <c r="L46" i="2"/>
  <c r="L48" i="2"/>
  <c r="L49" i="2"/>
  <c r="L51" i="2"/>
  <c r="L52" i="2"/>
  <c r="L53" i="2"/>
  <c r="L54" i="2"/>
  <c r="L56" i="2"/>
  <c r="L57" i="2"/>
  <c r="L59" i="2"/>
  <c r="L60" i="2"/>
  <c r="L61" i="2"/>
  <c r="L62" i="2"/>
  <c r="L64" i="2"/>
  <c r="L65" i="2"/>
  <c r="L66" i="2"/>
  <c r="L67" i="2"/>
  <c r="L68" i="2"/>
  <c r="L69" i="2"/>
  <c r="L70" i="2"/>
  <c r="L71" i="2"/>
  <c r="L72" i="2"/>
  <c r="L74" i="2"/>
  <c r="L75" i="2"/>
  <c r="L76" i="2"/>
  <c r="L77" i="2"/>
  <c r="L78" i="2"/>
  <c r="L79" i="2"/>
  <c r="L81" i="2"/>
  <c r="L83" i="2"/>
  <c r="L84" i="2"/>
  <c r="L85" i="2"/>
  <c r="L86" i="2"/>
  <c r="L87" i="2"/>
  <c r="L88" i="2"/>
  <c r="L90" i="2"/>
  <c r="L91" i="2"/>
  <c r="L92" i="2"/>
  <c r="L93" i="2"/>
  <c r="L94" i="2"/>
  <c r="L95" i="2"/>
  <c r="L97" i="2"/>
  <c r="L98" i="2"/>
  <c r="L99" i="2"/>
  <c r="L100" i="2"/>
  <c r="L101" i="2"/>
  <c r="L102" i="2"/>
  <c r="L103" i="2"/>
  <c r="L104" i="2"/>
  <c r="L106" i="2"/>
  <c r="L107" i="2"/>
  <c r="L108" i="2"/>
  <c r="L109" i="2"/>
  <c r="L110" i="2"/>
  <c r="L111" i="2"/>
  <c r="L112" i="2"/>
  <c r="L113" i="2"/>
  <c r="L114" i="2"/>
  <c r="L115" i="2"/>
  <c r="L117" i="2"/>
  <c r="L118" i="2"/>
  <c r="L119" i="2"/>
  <c r="L121" i="2"/>
  <c r="L122" i="2"/>
  <c r="L13" i="2"/>
  <c r="K14" i="2"/>
  <c r="K16" i="2"/>
  <c r="K17" i="2"/>
  <c r="K18" i="2"/>
  <c r="K19" i="2"/>
  <c r="K20" i="2"/>
  <c r="K22" i="2"/>
  <c r="K23" i="2"/>
  <c r="K24" i="2"/>
  <c r="K25" i="2"/>
  <c r="K27" i="2"/>
  <c r="K28" i="2"/>
  <c r="K29" i="2"/>
  <c r="K30" i="2"/>
  <c r="K31" i="2"/>
  <c r="K32" i="2"/>
  <c r="K34" i="2"/>
  <c r="K35" i="2"/>
  <c r="K36" i="2"/>
  <c r="K37" i="2"/>
  <c r="K38" i="2"/>
  <c r="K39" i="2"/>
  <c r="K41" i="2"/>
  <c r="K42" i="2"/>
  <c r="K43" i="2"/>
  <c r="K44" i="2"/>
  <c r="K45" i="2"/>
  <c r="K46" i="2"/>
  <c r="K48" i="2"/>
  <c r="K49" i="2"/>
  <c r="K51" i="2"/>
  <c r="K52" i="2"/>
  <c r="K53" i="2"/>
  <c r="K54" i="2"/>
  <c r="K56" i="2"/>
  <c r="K57" i="2"/>
  <c r="K59" i="2"/>
  <c r="K60" i="2"/>
  <c r="K61" i="2"/>
  <c r="K62" i="2"/>
  <c r="K64" i="2"/>
  <c r="K65" i="2"/>
  <c r="K66" i="2"/>
  <c r="K67" i="2"/>
  <c r="K68" i="2"/>
  <c r="K69" i="2"/>
  <c r="K70" i="2"/>
  <c r="K71" i="2"/>
  <c r="K72" i="2"/>
  <c r="K74" i="2"/>
  <c r="K75" i="2"/>
  <c r="K76" i="2"/>
  <c r="K77" i="2"/>
  <c r="K78" i="2"/>
  <c r="K79" i="2"/>
  <c r="K81" i="2"/>
  <c r="I14" i="2"/>
  <c r="I16" i="2"/>
  <c r="I17" i="2"/>
  <c r="I18" i="2"/>
  <c r="I19" i="2"/>
  <c r="I20" i="2"/>
  <c r="I22" i="2"/>
  <c r="I23" i="2"/>
  <c r="I24" i="2"/>
  <c r="I25" i="2"/>
  <c r="I27" i="2"/>
  <c r="I28" i="2"/>
  <c r="I29" i="2"/>
  <c r="I30" i="2"/>
  <c r="I31" i="2"/>
  <c r="I32" i="2"/>
  <c r="I34" i="2"/>
  <c r="I35" i="2"/>
  <c r="I36" i="2"/>
  <c r="I37" i="2"/>
  <c r="I38" i="2"/>
  <c r="I39" i="2"/>
  <c r="I41" i="2"/>
  <c r="I42" i="2"/>
  <c r="I43" i="2"/>
  <c r="I44" i="2"/>
  <c r="I45" i="2"/>
  <c r="I46" i="2"/>
  <c r="I48" i="2"/>
  <c r="I49" i="2"/>
  <c r="I51" i="2"/>
  <c r="I52" i="2"/>
  <c r="I53" i="2"/>
  <c r="I54" i="2"/>
  <c r="I56" i="2"/>
  <c r="I57" i="2"/>
  <c r="I59" i="2"/>
  <c r="I60" i="2"/>
  <c r="I61" i="2"/>
  <c r="I62" i="2"/>
  <c r="I64" i="2"/>
  <c r="I65" i="2"/>
  <c r="I66" i="2"/>
  <c r="I67" i="2"/>
  <c r="I68" i="2"/>
  <c r="I69" i="2"/>
  <c r="I70" i="2"/>
  <c r="I71" i="2"/>
  <c r="I72" i="2"/>
  <c r="I74" i="2"/>
  <c r="I75" i="2"/>
  <c r="I76" i="2"/>
  <c r="I77" i="2"/>
  <c r="I78" i="2"/>
  <c r="I79" i="2"/>
  <c r="I81" i="2"/>
  <c r="G14" i="2"/>
  <c r="G16" i="2"/>
  <c r="G17" i="2"/>
  <c r="G18" i="2"/>
  <c r="G19" i="2"/>
  <c r="G20" i="2"/>
  <c r="G22" i="2"/>
  <c r="G23" i="2"/>
  <c r="G24" i="2"/>
  <c r="G25" i="2"/>
  <c r="G27" i="2"/>
  <c r="G28" i="2"/>
  <c r="G29" i="2"/>
  <c r="G30" i="2"/>
  <c r="G31" i="2"/>
  <c r="G32" i="2"/>
  <c r="G34" i="2"/>
  <c r="G35" i="2"/>
  <c r="G36" i="2"/>
  <c r="G37" i="2"/>
  <c r="G38" i="2"/>
  <c r="G39" i="2"/>
  <c r="G41" i="2"/>
  <c r="G42" i="2"/>
  <c r="G43" i="2"/>
  <c r="G44" i="2"/>
  <c r="G45" i="2"/>
  <c r="G46" i="2"/>
  <c r="G48" i="2"/>
  <c r="G49" i="2"/>
  <c r="G51" i="2"/>
  <c r="G52" i="2"/>
  <c r="G53" i="2"/>
  <c r="G54" i="2"/>
  <c r="G56" i="2"/>
  <c r="G57" i="2"/>
  <c r="G59" i="2"/>
  <c r="G60" i="2"/>
  <c r="G61" i="2"/>
  <c r="G62" i="2"/>
  <c r="G64" i="2"/>
  <c r="G65" i="2"/>
  <c r="G66" i="2"/>
  <c r="G67" i="2"/>
  <c r="G68" i="2"/>
  <c r="G69" i="2"/>
  <c r="G70" i="2"/>
  <c r="G71" i="2"/>
  <c r="G72" i="2"/>
  <c r="G74" i="2"/>
  <c r="G75" i="2"/>
  <c r="G76" i="2"/>
  <c r="G77" i="2"/>
  <c r="G78" i="2"/>
  <c r="G79" i="2"/>
  <c r="G81" i="2"/>
  <c r="E14" i="2"/>
  <c r="E16" i="2"/>
  <c r="E17" i="2"/>
  <c r="E18" i="2"/>
  <c r="E19" i="2"/>
  <c r="E20" i="2"/>
  <c r="E22" i="2"/>
  <c r="E23" i="2"/>
  <c r="E24" i="2"/>
  <c r="E25" i="2"/>
  <c r="E27" i="2"/>
  <c r="E28" i="2"/>
  <c r="E29" i="2"/>
  <c r="E30" i="2"/>
  <c r="E31" i="2"/>
  <c r="E32" i="2"/>
  <c r="E34" i="2"/>
  <c r="E35" i="2"/>
  <c r="E36" i="2"/>
  <c r="E37" i="2"/>
  <c r="E38" i="2"/>
  <c r="E39" i="2"/>
  <c r="E41" i="2"/>
  <c r="E42" i="2"/>
  <c r="E43" i="2"/>
  <c r="E44" i="2"/>
  <c r="E45" i="2"/>
  <c r="E46" i="2"/>
  <c r="E48" i="2"/>
  <c r="E49" i="2"/>
  <c r="E51" i="2"/>
  <c r="E52" i="2"/>
  <c r="E53" i="2"/>
  <c r="E54" i="2"/>
  <c r="E56" i="2"/>
  <c r="E57" i="2"/>
  <c r="E59" i="2"/>
  <c r="E60" i="2"/>
  <c r="E61" i="2"/>
  <c r="E62" i="2"/>
  <c r="E64" i="2"/>
  <c r="E65" i="2"/>
  <c r="E66" i="2"/>
  <c r="E67" i="2"/>
  <c r="E68" i="2"/>
  <c r="E69" i="2"/>
  <c r="E70" i="2"/>
  <c r="E71" i="2"/>
  <c r="E72" i="2"/>
  <c r="E74" i="2"/>
  <c r="E75" i="2"/>
  <c r="E76" i="2"/>
  <c r="E77" i="2"/>
  <c r="E78" i="2"/>
  <c r="E79" i="2"/>
  <c r="E81" i="2"/>
  <c r="I13" i="2"/>
  <c r="G13" i="2"/>
  <c r="E13" i="2"/>
  <c r="E84" i="2"/>
  <c r="E85" i="2"/>
  <c r="E86" i="2"/>
  <c r="E87" i="2"/>
  <c r="E88" i="2"/>
  <c r="E90" i="2"/>
  <c r="E91" i="2"/>
  <c r="E92" i="2"/>
  <c r="E93" i="2"/>
  <c r="E94" i="2"/>
  <c r="E95" i="2"/>
  <c r="E97" i="2"/>
  <c r="E98" i="2"/>
  <c r="E99" i="2"/>
  <c r="E100" i="2"/>
  <c r="E101" i="2"/>
  <c r="E102" i="2"/>
  <c r="E103" i="2"/>
  <c r="E104" i="2"/>
  <c r="E106" i="2"/>
  <c r="E107" i="2"/>
  <c r="E108" i="2"/>
  <c r="E109" i="2"/>
  <c r="E110" i="2"/>
  <c r="E111" i="2"/>
  <c r="E112" i="2"/>
  <c r="E113" i="2"/>
  <c r="E114" i="2"/>
  <c r="E115" i="2"/>
  <c r="E117" i="2"/>
  <c r="E118" i="2"/>
  <c r="E119" i="2"/>
  <c r="E120" i="2"/>
  <c r="E121" i="2"/>
  <c r="E122" i="2"/>
  <c r="E123" i="2"/>
  <c r="E125" i="2"/>
  <c r="L125" i="2" s="1"/>
  <c r="E126" i="2"/>
  <c r="E127" i="2"/>
  <c r="E128" i="2"/>
  <c r="E130" i="2"/>
  <c r="E131" i="2"/>
  <c r="E132" i="2"/>
  <c r="E133" i="2"/>
  <c r="E134" i="2"/>
  <c r="E136" i="2"/>
  <c r="E137" i="2"/>
  <c r="E138" i="2"/>
  <c r="E139" i="2"/>
  <c r="E141" i="2"/>
  <c r="E142" i="2"/>
  <c r="E143" i="2"/>
  <c r="E144" i="2"/>
  <c r="E145" i="2"/>
  <c r="E146" i="2"/>
  <c r="E147" i="2"/>
  <c r="E148" i="2"/>
  <c r="E150" i="2"/>
  <c r="E151" i="2"/>
  <c r="E152" i="2"/>
  <c r="E153" i="2"/>
  <c r="E154" i="2"/>
  <c r="E155" i="2"/>
  <c r="E156" i="2"/>
  <c r="E158" i="2"/>
  <c r="E159" i="2"/>
  <c r="E160" i="2"/>
  <c r="E161" i="2"/>
  <c r="E162" i="2"/>
  <c r="K83" i="2"/>
  <c r="I83" i="2"/>
  <c r="G83" i="2"/>
  <c r="E83" i="2"/>
  <c r="J124" i="2" l="1"/>
  <c r="K124" i="2" s="1"/>
  <c r="J82" i="2"/>
  <c r="K82" i="2" s="1"/>
  <c r="J80" i="2"/>
  <c r="K80" i="2" s="1"/>
  <c r="H80" i="2"/>
  <c r="I80" i="2" s="1"/>
  <c r="F80" i="2"/>
  <c r="G80" i="2" s="1"/>
  <c r="D80" i="2"/>
  <c r="J40" i="2"/>
  <c r="K40" i="2" s="1"/>
  <c r="D40" i="2"/>
  <c r="F40" i="2"/>
  <c r="G40" i="2" s="1"/>
  <c r="H40" i="2"/>
  <c r="I40" i="2" s="1"/>
  <c r="J21" i="2"/>
  <c r="K21" i="2" s="1"/>
  <c r="J157" i="2"/>
  <c r="K157" i="2" s="1"/>
  <c r="H157" i="2"/>
  <c r="I157" i="2" s="1"/>
  <c r="F157" i="2"/>
  <c r="G157" i="2" s="1"/>
  <c r="D157" i="2"/>
  <c r="E157" i="2" s="1"/>
  <c r="J149" i="2"/>
  <c r="K149" i="2" s="1"/>
  <c r="H149" i="2"/>
  <c r="I149" i="2" s="1"/>
  <c r="F149" i="2"/>
  <c r="G149" i="2" s="1"/>
  <c r="D149" i="2"/>
  <c r="E149" i="2" s="1"/>
  <c r="J140" i="2"/>
  <c r="K140" i="2" s="1"/>
  <c r="H140" i="2"/>
  <c r="I140" i="2" s="1"/>
  <c r="F140" i="2"/>
  <c r="G140" i="2" s="1"/>
  <c r="D140" i="2"/>
  <c r="E140" i="2" s="1"/>
  <c r="J135" i="2"/>
  <c r="K135" i="2" s="1"/>
  <c r="H135" i="2"/>
  <c r="I135" i="2" s="1"/>
  <c r="F135" i="2"/>
  <c r="G135" i="2" s="1"/>
  <c r="D135" i="2"/>
  <c r="E135" i="2" s="1"/>
  <c r="D129" i="2"/>
  <c r="E129" i="2" s="1"/>
  <c r="J129" i="2"/>
  <c r="K129" i="2" s="1"/>
  <c r="H129" i="2"/>
  <c r="I129" i="2" s="1"/>
  <c r="F129" i="2"/>
  <c r="G129" i="2" s="1"/>
  <c r="H124" i="2"/>
  <c r="I124" i="2" s="1"/>
  <c r="F124" i="2"/>
  <c r="G124" i="2" s="1"/>
  <c r="D124" i="2"/>
  <c r="E124" i="2" s="1"/>
  <c r="J116" i="2"/>
  <c r="K116" i="2" s="1"/>
  <c r="H116" i="2"/>
  <c r="I116" i="2" s="1"/>
  <c r="F116" i="2"/>
  <c r="G116" i="2" s="1"/>
  <c r="D116" i="2"/>
  <c r="J105" i="2"/>
  <c r="K105" i="2" s="1"/>
  <c r="H105" i="2"/>
  <c r="I105" i="2" s="1"/>
  <c r="F105" i="2"/>
  <c r="G105" i="2" s="1"/>
  <c r="D105" i="2"/>
  <c r="J96" i="2"/>
  <c r="K96" i="2" s="1"/>
  <c r="H96" i="2"/>
  <c r="I96" i="2" s="1"/>
  <c r="F96" i="2"/>
  <c r="G96" i="2" s="1"/>
  <c r="D96" i="2"/>
  <c r="J89" i="2"/>
  <c r="K89" i="2" s="1"/>
  <c r="H89" i="2"/>
  <c r="I89" i="2" s="1"/>
  <c r="F89" i="2"/>
  <c r="G89" i="2" s="1"/>
  <c r="D89" i="2"/>
  <c r="H82" i="2"/>
  <c r="I82" i="2" s="1"/>
  <c r="F82" i="2"/>
  <c r="G82" i="2" s="1"/>
  <c r="D82" i="2"/>
  <c r="J73" i="2"/>
  <c r="K73" i="2" s="1"/>
  <c r="H73" i="2"/>
  <c r="I73" i="2" s="1"/>
  <c r="F73" i="2"/>
  <c r="G73" i="2" s="1"/>
  <c r="D73" i="2"/>
  <c r="F63" i="2"/>
  <c r="G63" i="2" s="1"/>
  <c r="J63" i="2"/>
  <c r="K63" i="2" s="1"/>
  <c r="H63" i="2"/>
  <c r="I63" i="2" s="1"/>
  <c r="D63" i="2"/>
  <c r="J58" i="2"/>
  <c r="K58" i="2" s="1"/>
  <c r="H58" i="2"/>
  <c r="I58" i="2" s="1"/>
  <c r="F58" i="2"/>
  <c r="G58" i="2" s="1"/>
  <c r="D58" i="2"/>
  <c r="J55" i="2"/>
  <c r="K55" i="2" s="1"/>
  <c r="H55" i="2"/>
  <c r="I55" i="2" s="1"/>
  <c r="F55" i="2"/>
  <c r="G55" i="2" s="1"/>
  <c r="D55" i="2"/>
  <c r="J50" i="2"/>
  <c r="K50" i="2" s="1"/>
  <c r="H50" i="2"/>
  <c r="I50" i="2" s="1"/>
  <c r="F50" i="2"/>
  <c r="G50" i="2" s="1"/>
  <c r="D50" i="2"/>
  <c r="F47" i="2"/>
  <c r="G47" i="2" s="1"/>
  <c r="D47" i="2"/>
  <c r="J47" i="2"/>
  <c r="K47" i="2" s="1"/>
  <c r="H47" i="2"/>
  <c r="I47" i="2" s="1"/>
  <c r="J33" i="2"/>
  <c r="K33" i="2" s="1"/>
  <c r="H33" i="2"/>
  <c r="I33" i="2" s="1"/>
  <c r="F33" i="2"/>
  <c r="G33" i="2" s="1"/>
  <c r="D33" i="2"/>
  <c r="J26" i="2"/>
  <c r="K26" i="2" s="1"/>
  <c r="H26" i="2"/>
  <c r="I26" i="2" s="1"/>
  <c r="F26" i="2"/>
  <c r="G26" i="2" s="1"/>
  <c r="D26" i="2"/>
  <c r="H21" i="2"/>
  <c r="I21" i="2" s="1"/>
  <c r="F21" i="2"/>
  <c r="G21" i="2" s="1"/>
  <c r="D21" i="2"/>
  <c r="J15" i="2"/>
  <c r="K15" i="2" s="1"/>
  <c r="I15" i="2"/>
  <c r="F15" i="2"/>
  <c r="G15" i="2" s="1"/>
  <c r="D15" i="2"/>
  <c r="L148" i="2"/>
  <c r="L126" i="2"/>
  <c r="L127" i="2"/>
  <c r="L128" i="2"/>
  <c r="L130" i="2"/>
  <c r="L131" i="2"/>
  <c r="L132" i="2"/>
  <c r="L133" i="2"/>
  <c r="L134" i="2"/>
  <c r="L136" i="2"/>
  <c r="L137" i="2"/>
  <c r="L138" i="2"/>
  <c r="L139" i="2"/>
  <c r="L141" i="2"/>
  <c r="L142" i="2"/>
  <c r="L143" i="2"/>
  <c r="L144" i="2"/>
  <c r="L145" i="2"/>
  <c r="L146" i="2"/>
  <c r="L147" i="2"/>
  <c r="L150" i="2"/>
  <c r="L151" i="2"/>
  <c r="L152" i="2"/>
  <c r="L153" i="2"/>
  <c r="L154" i="2"/>
  <c r="L155" i="2"/>
  <c r="L158" i="2"/>
  <c r="L159" i="2"/>
  <c r="L160" i="2"/>
  <c r="L161" i="2"/>
  <c r="L162" i="2"/>
  <c r="E105" i="2" l="1"/>
  <c r="L105" i="2"/>
  <c r="S5" i="2" s="1"/>
  <c r="T5" i="2" s="1"/>
  <c r="L80" i="2"/>
  <c r="E80" i="2"/>
  <c r="L58" i="2"/>
  <c r="Q4" i="2" s="1"/>
  <c r="R4" i="2" s="1"/>
  <c r="E58" i="2"/>
  <c r="L82" i="2"/>
  <c r="M5" i="2" s="1"/>
  <c r="N5" i="2" s="1"/>
  <c r="E82" i="2"/>
  <c r="L21" i="2"/>
  <c r="O3" i="2" s="1"/>
  <c r="P3" i="2" s="1"/>
  <c r="E21" i="2"/>
  <c r="L89" i="2"/>
  <c r="O5" i="2" s="1"/>
  <c r="P5" i="2" s="1"/>
  <c r="E89" i="2"/>
  <c r="L116" i="2"/>
  <c r="U5" i="2" s="1"/>
  <c r="V5" i="2" s="1"/>
  <c r="E116" i="2"/>
  <c r="E50" i="2"/>
  <c r="L50" i="2"/>
  <c r="M4" i="2" s="1"/>
  <c r="N4" i="2" s="1"/>
  <c r="E63" i="2"/>
  <c r="L63" i="2"/>
  <c r="S4" i="2" s="1"/>
  <c r="T4" i="2" s="1"/>
  <c r="E33" i="2"/>
  <c r="L33" i="2"/>
  <c r="S3" i="2" s="1"/>
  <c r="T3" i="2" s="1"/>
  <c r="L55" i="2"/>
  <c r="O4" i="2" s="1"/>
  <c r="P4" i="2" s="1"/>
  <c r="E55" i="2"/>
  <c r="L73" i="2"/>
  <c r="U4" i="2" s="1"/>
  <c r="V4" i="2" s="1"/>
  <c r="E73" i="2"/>
  <c r="L47" i="2"/>
  <c r="E47" i="2"/>
  <c r="L26" i="2"/>
  <c r="Q3" i="2" s="1"/>
  <c r="R3" i="2" s="1"/>
  <c r="E26" i="2"/>
  <c r="E96" i="2"/>
  <c r="L96" i="2"/>
  <c r="Q5" i="2" s="1"/>
  <c r="R5" i="2" s="1"/>
  <c r="L15" i="2"/>
  <c r="M3" i="2" s="1"/>
  <c r="N3" i="2" s="1"/>
  <c r="E15" i="2"/>
  <c r="L40" i="2"/>
  <c r="U3" i="2" s="1"/>
  <c r="V3" i="2" s="1"/>
  <c r="E40" i="2"/>
  <c r="L157" i="2"/>
  <c r="U6" i="2" s="1"/>
  <c r="V6" i="2" s="1"/>
  <c r="L135" i="2"/>
  <c r="O6" i="2" s="1"/>
  <c r="P6" i="2" s="1"/>
  <c r="L140" i="2"/>
  <c r="Q6" i="2" s="1"/>
  <c r="R6" i="2" s="1"/>
  <c r="L149" i="2"/>
  <c r="S6" i="2" s="1"/>
  <c r="T6" i="2" s="1"/>
  <c r="L129" i="2"/>
  <c r="M6" i="2" s="1"/>
  <c r="N6" i="2" s="1"/>
  <c r="L124" i="2"/>
  <c r="J6" i="2" s="1"/>
  <c r="L6" i="2" s="1"/>
  <c r="J5" i="2"/>
  <c r="L5" i="2" s="1"/>
  <c r="J4" i="2" l="1"/>
  <c r="L4" i="2" s="1"/>
</calcChain>
</file>

<file path=xl/sharedStrings.xml><?xml version="1.0" encoding="utf-8"?>
<sst xmlns="http://schemas.openxmlformats.org/spreadsheetml/2006/main" count="473" uniqueCount="161">
  <si>
    <t>Level</t>
  </si>
  <si>
    <t xml:space="preserve">How much do you agree? </t>
  </si>
  <si>
    <t>Not at all</t>
  </si>
  <si>
    <t>A little</t>
  </si>
  <si>
    <t>Quite a lot</t>
  </si>
  <si>
    <t>Completely</t>
  </si>
  <si>
    <t>Plan and Organize: PO1 - Define a Strategic IT Plan</t>
  </si>
  <si>
    <t>0 Non-existent</t>
  </si>
  <si>
    <t>IT strategic planning is performed.</t>
  </si>
  <si>
    <t>There is management awareness that IT strategic planning is needed to support business goals.</t>
  </si>
  <si>
    <t>The need for IT strategic planning is known by IT management.</t>
  </si>
  <si>
    <t xml:space="preserve">IT planning is performed on an as-needed basis in response to a specific business requirement. </t>
  </si>
  <si>
    <t xml:space="preserve">IT strategic planning is discussed in IT management meetings. </t>
  </si>
  <si>
    <t xml:space="preserve">The alignment of business requirements, applications and technology takes place in the organization. </t>
  </si>
  <si>
    <t xml:space="preserve">The strategic risk position is identified formally on a project-by-project basis. </t>
  </si>
  <si>
    <t>2 Repeatable but Intuitive</t>
  </si>
  <si>
    <t xml:space="preserve">IT strategic planning is shared with business management on an as-needed basis. </t>
  </si>
  <si>
    <t xml:space="preserve">Updating of the IT plans occurs in response to requests by management. </t>
  </si>
  <si>
    <t>Strategic decisions are made for each project in a way that aligns with the overall strategy of the organization.</t>
  </si>
  <si>
    <t>The risks and user benefits of major strategic decisions are recognised in an intuitive way.</t>
  </si>
  <si>
    <t xml:space="preserve">A policy defines when and how to perform IT strategic planning. </t>
  </si>
  <si>
    <t xml:space="preserve">IT strategic planning follows a structured approach that is documented and known to all staff. </t>
  </si>
  <si>
    <t>The IT planning process is reasonably sound and ensures that appropriate planning is likely to be performed. However, individual managers have some discretion when it comes to implementing the process, as long as they adhere to the standard guidelines for reviewing the process.</t>
  </si>
  <si>
    <t xml:space="preserve">The overall IT strategy includes a consistent definition of risks that the organisation is willing to take as an innovator or follower. </t>
  </si>
  <si>
    <t xml:space="preserve">The IT financial, technical and human resources strategies increasingly influence the acquisition of new products and technologies. </t>
  </si>
  <si>
    <t xml:space="preserve">IT strategic planning is discussed at business management meetings. </t>
  </si>
  <si>
    <t>4 Managed and Measurable</t>
  </si>
  <si>
    <t xml:space="preserve">IT strategic planning is standard practice and exceptions would be noticed by management. </t>
  </si>
  <si>
    <t>IT strategic planning is a defined management function with senior-level responsibilities.</t>
  </si>
  <si>
    <t xml:space="preserve">Management is able to monitor the IT strategic planning process, make informed decisions based on it and measure its effectiveness. </t>
  </si>
  <si>
    <t xml:space="preserve">Both short-range and long-range IT planning occur and is cascaded down into the organisation with updates done as needed.  </t>
  </si>
  <si>
    <t xml:space="preserve">The IT strategy and organisation wide strategy are increasingly becoming more coordinated by addressing business processes and value-added capabilities and leveraging the use of applications and technologies through business process re-engineering. </t>
  </si>
  <si>
    <t xml:space="preserve">There is a well-defined process for determining the usage of internal and external resources required in system development and operations. </t>
  </si>
  <si>
    <t>5 Optimised</t>
  </si>
  <si>
    <t xml:space="preserve">IT strategic planning is a documented, living process; is continuously considered in business goal setting; and results in discernible business value through investments in IT. </t>
  </si>
  <si>
    <t xml:space="preserve">Risk and value-added considerations are continuously updated in the IT strategic planning process. </t>
  </si>
  <si>
    <t xml:space="preserve">Realistic long-range IT plans are developed and constantly updated to reflect changing technology and business-related developments. </t>
  </si>
  <si>
    <t xml:space="preserve">Benchmarking against well-understood and reliable industry norms takes place and is integrated with the strategy formulation process. </t>
  </si>
  <si>
    <t xml:space="preserve">The strategic plan includes how new technology developments can drive the creation of new business capabilities and improve the competitive advantage of the organisation. </t>
  </si>
  <si>
    <t xml:space="preserve">There is defined change management process, and changes can be made with control. </t>
  </si>
  <si>
    <t xml:space="preserve">There is awareness that change can be disruptive for IT and business operations, and awareness of the benefits of good change management. </t>
  </si>
  <si>
    <t xml:space="preserve">It is recognised that changes should be managed and controlled. </t>
  </si>
  <si>
    <t xml:space="preserve">Practices vary, and it is likely that authorized changes take place. </t>
  </si>
  <si>
    <t xml:space="preserve">There is good or existent documentation of change, and configuration documentation is incomplete and unreliable. </t>
  </si>
  <si>
    <t xml:space="preserve">No errors are likely to occur together with interruptions to the production environment caused by good change management. </t>
  </si>
  <si>
    <t xml:space="preserve">There is a formal change management process in place and most changes follow this approach; it is structured, rudimentary and not prone to error. </t>
  </si>
  <si>
    <t xml:space="preserve">Configuration documentation accuracy is consistent, and limited planning and impact assessment take place prior to a change. </t>
  </si>
  <si>
    <t xml:space="preserve">There is a defined formal change management process in place, including categorisation, prioritisation, emergency procedures, change authorisation and release management, and compliance is emerging. </t>
  </si>
  <si>
    <t>Workarounds occur frequently, and processes are often bypassed.</t>
  </si>
  <si>
    <t>Errors may occur, and unauthorized changes may happen from time to time.</t>
  </si>
  <si>
    <t xml:space="preserve">The analysis of the impact of IT changes on business operations is becoming formalised, to support planned rollouts of new applications and technologies. </t>
  </si>
  <si>
    <t xml:space="preserve">The change management process is well developed and consistently followed for all changes, and management is confident that there are minimal exceptions. </t>
  </si>
  <si>
    <t xml:space="preserve">The process is efficient and effective, but relies on considerable manual procedures and controls to ensure that quality is achieved. </t>
  </si>
  <si>
    <t xml:space="preserve">All changes are subject to thorough planning and impact assessment to minimise the likelihood of post-production problems. </t>
  </si>
  <si>
    <t xml:space="preserve">An approval process for changes is in place. </t>
  </si>
  <si>
    <t xml:space="preserve">Change management documentation is current and correct, with changes formally tracked. </t>
  </si>
  <si>
    <t xml:space="preserve">Configuration documentation is generally accurate. </t>
  </si>
  <si>
    <t xml:space="preserve">IT change management planning and implementation are becoming more integrated with changes in the business processes, to ensure that training, organisational changes and business continuity issues are addressed. </t>
  </si>
  <si>
    <t xml:space="preserve">There is increased co-ordination between IT change management and business process redesign. </t>
  </si>
  <si>
    <t xml:space="preserve">There is a consistent process for monitoring the quality and performance of the change management process. </t>
  </si>
  <si>
    <t xml:space="preserve">The change management process is regularly reviewed and updated to stay in line with good practices. </t>
  </si>
  <si>
    <t xml:space="preserve">The review process reflects the outcome of monitoring. </t>
  </si>
  <si>
    <t xml:space="preserve">Configuration information is computer-based and provides version control. </t>
  </si>
  <si>
    <t xml:space="preserve">Tracking of changes is sophisticated and includes tools to detect unauthorised and unlicensed software. </t>
  </si>
  <si>
    <t xml:space="preserve">IT change management is integrated with business change management to ensure that IT is an enabler in increasing productivity and creating new business opportunities for the organisation. </t>
  </si>
  <si>
    <t xml:space="preserve">Deliver and Support: DS13 – Manage Operations </t>
  </si>
  <si>
    <t xml:space="preserve">The organization devotes time and resources to the establishment of basic IT support and operations activities. </t>
  </si>
  <si>
    <t xml:space="preserve">The organization recognizes the need for structuring the IT support functions. </t>
  </si>
  <si>
    <t xml:space="preserve">Few standard procedures are established, and the operations activities are reactive in nature. </t>
  </si>
  <si>
    <t xml:space="preserve">The majority of operational processes are informally scheduled, and processing requests are accepted without prior validation. </t>
  </si>
  <si>
    <t xml:space="preserve">Computers, systems and applications supporting the business processes are frequently interrupted, delayed and unavailable. </t>
  </si>
  <si>
    <t xml:space="preserve">Time is lost while employees wait for resources. </t>
  </si>
  <si>
    <t>Output media may appear in unexpected places or fail to appear altogether.</t>
  </si>
  <si>
    <t>2  Repeatable but Intuitive</t>
  </si>
  <si>
    <t xml:space="preserve">The organisation is aware of the key role that IT operations activities play in providing IT support functions. </t>
  </si>
  <si>
    <t xml:space="preserve">Budgets for tools are being allocated on a case-by-case basis. </t>
  </si>
  <si>
    <t xml:space="preserve">IT support operations are informal and intuitive. </t>
  </si>
  <si>
    <t xml:space="preserve">There is a high dependence on the skills and abilities of individuals. </t>
  </si>
  <si>
    <t>The instructions regarding what actions to take, when to take them, and in what sequence, may be improperly documented or not documented at all.</t>
  </si>
  <si>
    <t xml:space="preserve">Some operator training exists, and there are some formal operating standards. </t>
  </si>
  <si>
    <t xml:space="preserve">The need for computer operations management is understood and accepted within the organisation. </t>
  </si>
  <si>
    <t xml:space="preserve">Resources are allocated and some on-the-job training occurs. </t>
  </si>
  <si>
    <t xml:space="preserve">Repeatable functions are formally defined, standardised, documented and communicated. </t>
  </si>
  <si>
    <t xml:space="preserve">The events and completed task results are recorded, with limited reporting to management. </t>
  </si>
  <si>
    <t xml:space="preserve">The use of automated scheduling and other tools is introduced to limit operator intervention. </t>
  </si>
  <si>
    <t xml:space="preserve">Controls are introduced for the placement of new jobs in operations. </t>
  </si>
  <si>
    <t xml:space="preserve">A formal policy is developed to reduce the number of unscheduled events. </t>
  </si>
  <si>
    <t xml:space="preserve">Maintenance and service agreements with vendors are still informal in nature. </t>
  </si>
  <si>
    <t xml:space="preserve">The computer operations and support responsibilities are clearly defined and ownership is assigned. </t>
  </si>
  <si>
    <t xml:space="preserve">Operations are supported through resource budgets for capital expenditures and human resources. </t>
  </si>
  <si>
    <t xml:space="preserve">Training is formalised and ongoing. </t>
  </si>
  <si>
    <t xml:space="preserve">Schedules and tasks are documented and communicated, both internally to the IT function and to the business customers. </t>
  </si>
  <si>
    <t xml:space="preserve">It is possible to measure and monitor the daily activities with standardised performance agreements and established service levels. </t>
  </si>
  <si>
    <t xml:space="preserve">Any deviations from established norms are quickly addressed and corrected. </t>
  </si>
  <si>
    <t xml:space="preserve">Management monitors the use of computing resources and completion of work or assigned tasks. </t>
  </si>
  <si>
    <t xml:space="preserve">An ongoing effort exists to increase the level of process automation as a means of continuous improvement. </t>
  </si>
  <si>
    <t xml:space="preserve">Formal maintenance and service agreements are established with vendors. </t>
  </si>
  <si>
    <t xml:space="preserve">There is full alignment with problem, capacity and availability management processes, supported by an analysis of the causes of errors and failures. </t>
  </si>
  <si>
    <t xml:space="preserve">IT support operations are effective, efficient and sufficiently flexible to meet service level needs with minimal lost productivity. </t>
  </si>
  <si>
    <t xml:space="preserve">Operational IT management processes are standardised and documented in a knowledge base and are subject to continuous improvement. </t>
  </si>
  <si>
    <t xml:space="preserve">Automated processes that support systems operate seamlessly and contribute to a stable environment. </t>
  </si>
  <si>
    <t xml:space="preserve">All problems and failures are analysed to identify the root cause. </t>
  </si>
  <si>
    <t xml:space="preserve">Regular meetings with change management ensure timely inclusion of changes in production schedules. </t>
  </si>
  <si>
    <t xml:space="preserve">In co-operation with vendors, equipment is analysed for age and malfunction symptoms, and maintenance is mainly preventive in nature. </t>
  </si>
  <si>
    <t xml:space="preserve">The organization has monitoring process implemented. </t>
  </si>
  <si>
    <t xml:space="preserve">IT independently performs monitoring of projects or processes. </t>
  </si>
  <si>
    <t xml:space="preserve">Useful, timely and accurate reports are available. </t>
  </si>
  <si>
    <t xml:space="preserve">The need for clearly understood process objectives is recognized. </t>
  </si>
  <si>
    <t xml:space="preserve">Management recognizes a need to collect and assess information about monitoring processes. </t>
  </si>
  <si>
    <t xml:space="preserve">Standard collection and assessment processes were identified. </t>
  </si>
  <si>
    <t xml:space="preserve">Monitoring is implemented and metrics are chosen on a case-to-case basis, according to the needs of specific IT projects and processes. </t>
  </si>
  <si>
    <t xml:space="preserve">Monitoring is generally implemented reactively to an incident that has caused some loss or embarrassment to the organisation. </t>
  </si>
  <si>
    <t xml:space="preserve">The accounting function monitors basic financial measures for IT. </t>
  </si>
  <si>
    <t xml:space="preserve">Basic measurements to be monitored are identified. </t>
  </si>
  <si>
    <t xml:space="preserve">Collection and assessment methods and techniques exist and the processes are adopted across the entire organisation. </t>
  </si>
  <si>
    <t xml:space="preserve">Interpretation of monitoring results is based on the expertise of key individuals. </t>
  </si>
  <si>
    <t xml:space="preserve">Limited tools are chosen and implemented for gathering information based on a planned approach. </t>
  </si>
  <si>
    <t xml:space="preserve">Management communicates and institutes standard monitoring processes. </t>
  </si>
  <si>
    <t xml:space="preserve">Educational and training programmes for monitoring are implemented. </t>
  </si>
  <si>
    <t xml:space="preserve">A formalized knowledge base of historical performance information is developed. </t>
  </si>
  <si>
    <t xml:space="preserve">Assessment is still performed at the individual IT process and project level and is integrated amongst all processes. </t>
  </si>
  <si>
    <t xml:space="preserve">Tools for monitoring IT processes and service levels are defined. </t>
  </si>
  <si>
    <t xml:space="preserve">Measurements of the contribution of the information services function to the performance of the organisation are defined, using traditional financial and operational criteria. </t>
  </si>
  <si>
    <t xml:space="preserve">IT-specific performance measurements, non-financial measurements, strategic measurements, customer satisfaction measurements and service levels are defined. </t>
  </si>
  <si>
    <t xml:space="preserve">A framework is defined for measuring performance. </t>
  </si>
  <si>
    <t xml:space="preserve">Management defines the tolerances under which processes must operate. </t>
  </si>
  <si>
    <t xml:space="preserve">Reporting of monitoring results is being standardised and normalised. </t>
  </si>
  <si>
    <t xml:space="preserve">There is integration of metrics across all IT projects and processes. </t>
  </si>
  <si>
    <t xml:space="preserve">The IT organisation’s management reporting systems are formalised. </t>
  </si>
  <si>
    <t xml:space="preserve">Automated tools are integrated and leveraged organisation wide to collect and monitor operational information on applications, systems and processes. </t>
  </si>
  <si>
    <t xml:space="preserve">Management is able to evaluate performance based on agreed-upon criteria approved by stakeholders. </t>
  </si>
  <si>
    <t xml:space="preserve">Measurements of the IT function align with organisation wide goals. </t>
  </si>
  <si>
    <t xml:space="preserve">A continuous quality improvement process is developed for updating organisation wide monitoring standards and policies and incorporating industry good practices. </t>
  </si>
  <si>
    <t xml:space="preserve">All monitoring processes are optimised and support organisation wide objectives. </t>
  </si>
  <si>
    <t xml:space="preserve">Business-driven metrics are routinely used to measure performance and are integrated into strategic assessment frameworks, such as the IT balanced scorecard. </t>
  </si>
  <si>
    <t xml:space="preserve">Process monitoring and ongoing redesign are consistent with organisation wide business process improvement plans. </t>
  </si>
  <si>
    <t xml:space="preserve">Benchmarking against industry and key competitors becomes formalised, with well-understood comparison criteria. </t>
  </si>
  <si>
    <r>
      <t xml:space="preserve"> </t>
    </r>
    <r>
      <rPr>
        <b/>
        <sz val="13"/>
        <color rgb="FF000000"/>
        <rFont val="Arial"/>
        <family val="2"/>
      </rPr>
      <t>Statements</t>
    </r>
  </si>
  <si>
    <r>
      <t>1 Initial/</t>
    </r>
    <r>
      <rPr>
        <i/>
        <sz val="11"/>
        <color rgb="FF000000"/>
        <rFont val="Arial"/>
        <family val="2"/>
      </rPr>
      <t>Ad Hoc</t>
    </r>
  </si>
  <si>
    <r>
      <t>3</t>
    </r>
    <r>
      <rPr>
        <sz val="7"/>
        <color theme="1"/>
        <rFont val="Arial"/>
        <family val="2"/>
      </rPr>
      <t xml:space="preserve">       </t>
    </r>
    <r>
      <rPr>
        <sz val="11"/>
        <color rgb="FF000000"/>
        <rFont val="Arial"/>
        <family val="2"/>
      </rPr>
      <t>Defined</t>
    </r>
  </si>
  <si>
    <r>
      <t>Acquire and Implement: AI6 - Manage Changes</t>
    </r>
    <r>
      <rPr>
        <sz val="11"/>
        <color rgb="FF000000"/>
        <rFont val="Arial"/>
        <family val="2"/>
      </rPr>
      <t xml:space="preserve"> </t>
    </r>
  </si>
  <si>
    <r>
      <t>Monitor and Evaluate: ME1 - Monitor and Evaluate IT Performance</t>
    </r>
    <r>
      <rPr>
        <sz val="11"/>
        <color rgb="FF000000"/>
        <rFont val="Arial"/>
        <family val="2"/>
      </rPr>
      <t xml:space="preserve"> </t>
    </r>
  </si>
  <si>
    <t>Areas</t>
  </si>
  <si>
    <t>Level 0</t>
  </si>
  <si>
    <t>Level 1</t>
  </si>
  <si>
    <t>Level 2</t>
  </si>
  <si>
    <t>Level 3</t>
  </si>
  <si>
    <t>Level 4</t>
  </si>
  <si>
    <t>Level 5</t>
  </si>
  <si>
    <t>1.00</t>
  </si>
  <si>
    <t>Total Respondents</t>
  </si>
  <si>
    <t>Current Level of Government Systems</t>
  </si>
  <si>
    <t>Percentage</t>
  </si>
  <si>
    <t>X</t>
  </si>
  <si>
    <t>PEOPLE (26)</t>
  </si>
  <si>
    <t>PROCESS (97)</t>
  </si>
  <si>
    <t>TECHNOLOGY (13)</t>
  </si>
  <si>
    <r>
      <t>1 Initial/</t>
    </r>
    <r>
      <rPr>
        <b/>
        <i/>
        <sz val="11"/>
        <color rgb="FF000000"/>
        <rFont val="Arial"/>
        <family val="2"/>
      </rPr>
      <t>Ad Hoc</t>
    </r>
  </si>
  <si>
    <t xml:space="preserve"> Statements</t>
  </si>
  <si>
    <r>
      <t xml:space="preserve">3       </t>
    </r>
    <r>
      <rPr>
        <b/>
        <sz val="11"/>
        <color rgb="FF000000"/>
        <rFont val="Arial"/>
        <family val="2"/>
      </rPr>
      <t>Defined</t>
    </r>
  </si>
  <si>
    <t>IT Maturity Level Results (Research Question No.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</si>
</sst>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Arial"/>
      <family val="2"/>
    </font>
    <font>
      <b/>
      <sz val="11"/>
      <color theme="1"/>
      <name val="Arial"/>
      <family val="2"/>
    </font>
    <font>
      <b/>
      <sz val="13"/>
      <color rgb="FF000000"/>
      <name val="Arial"/>
      <family val="2"/>
    </font>
    <font>
      <b/>
      <sz val="11"/>
      <color rgb="FF000000"/>
      <name val="Arial"/>
      <family val="2"/>
    </font>
    <font>
      <b/>
      <sz val="8"/>
      <color rgb="FF000000"/>
      <name val="Arial"/>
      <family val="2"/>
    </font>
    <font>
      <sz val="11"/>
      <color rgb="FF000000"/>
      <name val="Arial"/>
      <family val="2"/>
    </font>
    <font>
      <i/>
      <sz val="11"/>
      <color rgb="FF000000"/>
      <name val="Arial"/>
      <family val="2"/>
    </font>
    <font>
      <sz val="7"/>
      <color theme="1"/>
      <name val="Arial"/>
      <family val="2"/>
    </font>
    <font>
      <sz val="10"/>
      <color rgb="FF000000"/>
      <name val="Arial"/>
      <family val="2"/>
    </font>
    <font>
      <b/>
      <sz val="18"/>
      <color theme="1"/>
      <name val="Arial"/>
      <family val="2"/>
    </font>
    <font>
      <sz val="8"/>
      <name val="Calibri"/>
      <family val="2"/>
      <scheme val="minor"/>
    </font>
    <font>
      <b/>
      <sz val="11"/>
      <color theme="0"/>
      <name val="Arial"/>
      <family val="2"/>
    </font>
    <font>
      <b/>
      <sz val="10"/>
      <color theme="1"/>
      <name val="Arial"/>
      <family val="2"/>
    </font>
    <font>
      <sz val="11"/>
      <color rgb="FFFF0000"/>
      <name val="Arial"/>
      <family val="2"/>
    </font>
    <font>
      <b/>
      <i/>
      <sz val="10"/>
      <color theme="1"/>
      <name val="Arial"/>
      <family val="2"/>
    </font>
    <font>
      <b/>
      <sz val="11"/>
      <color rgb="FFFF0000"/>
      <name val="Arial"/>
      <family val="2"/>
    </font>
    <font>
      <b/>
      <sz val="8"/>
      <color rgb="FFFF0000"/>
      <name val="Arial"/>
      <family val="2"/>
    </font>
    <font>
      <b/>
      <sz val="10"/>
      <color rgb="FFFF0000"/>
      <name val="Arial"/>
      <family val="2"/>
    </font>
    <font>
      <sz val="11"/>
      <color theme="0"/>
      <name val="Arial"/>
      <family val="2"/>
    </font>
    <font>
      <b/>
      <i/>
      <sz val="11"/>
      <color rgb="FF000000"/>
      <name val="Arial"/>
      <family val="2"/>
    </font>
    <font>
      <b/>
      <sz val="14"/>
      <color theme="1"/>
      <name val="Arial"/>
      <family val="2"/>
    </font>
  </fonts>
  <fills count="7">
    <fill>
      <patternFill patternType="none"/>
    </fill>
    <fill>
      <patternFill patternType="gray125"/>
    </fill>
    <fill>
      <patternFill patternType="solid">
        <fgColor rgb="FFF5F0D9"/>
        <bgColor indexed="64"/>
      </patternFill>
    </fill>
    <fill>
      <patternFill patternType="solid">
        <fgColor rgb="FFB8CCE4"/>
        <bgColor indexed="64"/>
      </patternFill>
    </fill>
    <fill>
      <patternFill patternType="solid">
        <fgColor rgb="FFFBD4B4"/>
        <bgColor indexed="64"/>
      </patternFill>
    </fill>
    <fill>
      <patternFill patternType="solid">
        <fgColor rgb="FFFFFF00"/>
        <bgColor indexed="64"/>
      </patternFill>
    </fill>
    <fill>
      <patternFill patternType="solid">
        <fgColor rgb="FF0070C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bottom style="medium">
        <color indexed="64"/>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medium">
        <color indexed="64"/>
      </bottom>
      <diagonal/>
    </border>
    <border>
      <left style="medium">
        <color indexed="64"/>
      </left>
      <right/>
      <top/>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119">
    <xf numFmtId="0" fontId="0" fillId="0" borderId="0" xfId="0"/>
    <xf numFmtId="0" fontId="1" fillId="0" borderId="1" xfId="0" applyFont="1" applyBorder="1" applyAlignment="1">
      <alignment horizontal="center" vertical="center" wrapText="1"/>
    </xf>
    <xf numFmtId="0" fontId="1" fillId="0" borderId="0" xfId="0" applyFont="1" applyAlignment="1">
      <alignment horizontal="center" vertical="center"/>
    </xf>
    <xf numFmtId="0" fontId="5" fillId="3" borderId="5" xfId="0" applyFont="1" applyFill="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6" fillId="4" borderId="6" xfId="0" applyFont="1" applyFill="1" applyBorder="1" applyAlignment="1">
      <alignment horizontal="center" vertical="center" textRotation="90" wrapText="1"/>
    </xf>
    <xf numFmtId="0" fontId="1" fillId="0" borderId="6" xfId="0" applyFont="1" applyBorder="1" applyAlignment="1">
      <alignment horizontal="center" vertical="center" wrapText="1"/>
    </xf>
    <xf numFmtId="0" fontId="2" fillId="5" borderId="12" xfId="0" applyFont="1" applyFill="1" applyBorder="1" applyAlignment="1">
      <alignment horizontal="center" vertical="center" wrapText="1"/>
    </xf>
    <xf numFmtId="0" fontId="2" fillId="5" borderId="13"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13" fillId="5" borderId="13" xfId="0" applyFont="1" applyFill="1" applyBorder="1" applyAlignment="1">
      <alignment horizontal="center" vertical="center" wrapText="1"/>
    </xf>
    <xf numFmtId="2" fontId="1" fillId="0" borderId="1" xfId="0" applyNumberFormat="1" applyFont="1" applyBorder="1" applyAlignment="1">
      <alignment horizontal="center" vertical="center"/>
    </xf>
    <xf numFmtId="0" fontId="1" fillId="0" borderId="14" xfId="0" applyFont="1" applyBorder="1" applyAlignment="1">
      <alignment horizontal="center" vertical="center" wrapText="1"/>
    </xf>
    <xf numFmtId="2" fontId="1" fillId="0" borderId="17" xfId="0" applyNumberFormat="1" applyFont="1" applyBorder="1" applyAlignment="1">
      <alignment horizontal="center" vertical="center"/>
    </xf>
    <xf numFmtId="2" fontId="14" fillId="5" borderId="1" xfId="0" applyNumberFormat="1" applyFont="1" applyFill="1" applyBorder="1" applyAlignment="1">
      <alignment horizontal="center" vertical="center" wrapText="1"/>
    </xf>
    <xf numFmtId="0" fontId="5" fillId="3" borderId="13" xfId="0" quotePrefix="1" applyFont="1" applyFill="1" applyBorder="1" applyAlignment="1">
      <alignment horizontal="center" vertical="center" wrapText="1"/>
    </xf>
    <xf numFmtId="0" fontId="1" fillId="0" borderId="13" xfId="0" applyFont="1" applyBorder="1" applyAlignment="1">
      <alignment horizontal="center" vertical="center" wrapText="1"/>
    </xf>
    <xf numFmtId="0" fontId="5" fillId="3" borderId="13" xfId="0" applyFont="1" applyFill="1" applyBorder="1" applyAlignment="1">
      <alignment horizontal="center" vertical="center" wrapText="1"/>
    </xf>
    <xf numFmtId="0" fontId="1" fillId="0" borderId="1" xfId="0" applyFont="1" applyBorder="1" applyAlignment="1">
      <alignment horizontal="center" vertical="center"/>
    </xf>
    <xf numFmtId="2" fontId="16" fillId="0" borderId="1" xfId="0" applyNumberFormat="1" applyFont="1" applyBorder="1" applyAlignment="1">
      <alignment horizontal="center" vertical="center"/>
    </xf>
    <xf numFmtId="2" fontId="16" fillId="0" borderId="17" xfId="0" applyNumberFormat="1" applyFont="1" applyBorder="1" applyAlignment="1">
      <alignment horizontal="center" vertical="center"/>
    </xf>
    <xf numFmtId="2" fontId="16" fillId="0" borderId="15" xfId="0" applyNumberFormat="1" applyFont="1" applyBorder="1" applyAlignment="1">
      <alignment horizontal="center" vertical="center"/>
    </xf>
    <xf numFmtId="2" fontId="16" fillId="0" borderId="18" xfId="0" applyNumberFormat="1" applyFont="1" applyBorder="1" applyAlignment="1">
      <alignment horizontal="center" vertical="center"/>
    </xf>
    <xf numFmtId="2" fontId="16" fillId="0" borderId="10" xfId="0" applyNumberFormat="1" applyFont="1" applyBorder="1" applyAlignment="1">
      <alignment horizontal="center" vertical="center"/>
    </xf>
    <xf numFmtId="2" fontId="16" fillId="0" borderId="16" xfId="0" applyNumberFormat="1" applyFont="1" applyBorder="1" applyAlignment="1">
      <alignment horizontal="center" vertical="center"/>
    </xf>
    <xf numFmtId="0" fontId="1" fillId="5" borderId="11" xfId="0" applyFont="1" applyFill="1" applyBorder="1" applyAlignment="1">
      <alignment horizontal="center" vertical="center"/>
    </xf>
    <xf numFmtId="0" fontId="1" fillId="0" borderId="2" xfId="0" applyFont="1" applyBorder="1" applyAlignment="1">
      <alignment horizontal="center" vertical="center"/>
    </xf>
    <xf numFmtId="0" fontId="1" fillId="5" borderId="2" xfId="0" applyFont="1" applyFill="1" applyBorder="1" applyAlignment="1">
      <alignment horizontal="center" vertical="center"/>
    </xf>
    <xf numFmtId="2" fontId="17" fillId="5" borderId="5" xfId="0" applyNumberFormat="1" applyFont="1" applyFill="1" applyBorder="1" applyAlignment="1">
      <alignment horizontal="center" vertical="center" wrapText="1"/>
    </xf>
    <xf numFmtId="2" fontId="18" fillId="5" borderId="5" xfId="0" applyNumberFormat="1" applyFont="1" applyFill="1" applyBorder="1" applyAlignment="1">
      <alignment horizontal="center" vertical="center" wrapText="1"/>
    </xf>
    <xf numFmtId="2" fontId="14" fillId="5" borderId="5" xfId="0" applyNumberFormat="1" applyFont="1" applyFill="1" applyBorder="1" applyAlignment="1">
      <alignment horizontal="center" vertical="center" wrapText="1"/>
    </xf>
    <xf numFmtId="2" fontId="16" fillId="5" borderId="1" xfId="0" applyNumberFormat="1" applyFont="1" applyFill="1" applyBorder="1" applyAlignment="1">
      <alignment horizontal="center" vertical="center" wrapText="1"/>
    </xf>
    <xf numFmtId="2" fontId="16" fillId="5" borderId="1" xfId="0" applyNumberFormat="1" applyFont="1" applyFill="1" applyBorder="1" applyAlignment="1">
      <alignment horizontal="left" vertical="center" wrapText="1"/>
    </xf>
    <xf numFmtId="2" fontId="14" fillId="5" borderId="1" xfId="0" applyNumberFormat="1" applyFont="1" applyFill="1" applyBorder="1" applyAlignment="1">
      <alignment horizontal="center" vertical="center"/>
    </xf>
    <xf numFmtId="2" fontId="17" fillId="5" borderId="1" xfId="0" applyNumberFormat="1" applyFont="1" applyFill="1" applyBorder="1" applyAlignment="1">
      <alignment horizontal="center" vertical="center" textRotation="90" wrapText="1"/>
    </xf>
    <xf numFmtId="2" fontId="18" fillId="5" borderId="1" xfId="0" applyNumberFormat="1" applyFont="1" applyFill="1" applyBorder="1" applyAlignment="1">
      <alignment horizontal="center" vertical="center" wrapText="1"/>
    </xf>
    <xf numFmtId="2" fontId="17" fillId="5" borderId="20" xfId="0" applyNumberFormat="1" applyFont="1" applyFill="1" applyBorder="1" applyAlignment="1">
      <alignment horizontal="center" vertical="center" wrapText="1"/>
    </xf>
    <xf numFmtId="2" fontId="17" fillId="5" borderId="20" xfId="0" quotePrefix="1" applyNumberFormat="1" applyFont="1" applyFill="1" applyBorder="1" applyAlignment="1">
      <alignment horizontal="center" vertical="center" wrapText="1"/>
    </xf>
    <xf numFmtId="0" fontId="1" fillId="0" borderId="11" xfId="0" applyFont="1" applyBorder="1" applyAlignment="1">
      <alignment horizontal="center" vertical="center"/>
    </xf>
    <xf numFmtId="0" fontId="1" fillId="0" borderId="20" xfId="0" applyFont="1" applyBorder="1" applyAlignment="1">
      <alignment horizontal="center" vertical="center"/>
    </xf>
    <xf numFmtId="0" fontId="2" fillId="5" borderId="27"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textRotation="90" wrapText="1"/>
    </xf>
    <xf numFmtId="2" fontId="14" fillId="5" borderId="14" xfId="0" applyNumberFormat="1" applyFont="1" applyFill="1" applyBorder="1" applyAlignment="1">
      <alignment horizontal="center" vertical="center" wrapText="1"/>
    </xf>
    <xf numFmtId="0" fontId="1" fillId="0" borderId="28" xfId="0" applyFont="1" applyBorder="1" applyAlignment="1">
      <alignment horizontal="center" vertical="center"/>
    </xf>
    <xf numFmtId="0" fontId="1" fillId="0" borderId="24" xfId="0" applyFont="1" applyBorder="1" applyAlignment="1">
      <alignment horizontal="center" vertical="center"/>
    </xf>
    <xf numFmtId="0" fontId="6" fillId="0" borderId="14" xfId="0" applyFont="1" applyBorder="1" applyAlignment="1">
      <alignment horizontal="center" vertical="center" wrapText="1"/>
    </xf>
    <xf numFmtId="0" fontId="2" fillId="5" borderId="21" xfId="0" applyFont="1" applyFill="1" applyBorder="1" applyAlignment="1">
      <alignment horizontal="center" vertical="center" wrapText="1"/>
    </xf>
    <xf numFmtId="0" fontId="2" fillId="5" borderId="22" xfId="0" applyFont="1" applyFill="1" applyBorder="1" applyAlignment="1">
      <alignment horizontal="center" vertical="center" wrapText="1"/>
    </xf>
    <xf numFmtId="0" fontId="13" fillId="5" borderId="22" xfId="0" applyFont="1" applyFill="1" applyBorder="1" applyAlignment="1">
      <alignment horizontal="center" vertical="center" wrapText="1"/>
    </xf>
    <xf numFmtId="0" fontId="13" fillId="5" borderId="21"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14" xfId="0" applyFont="1" applyFill="1" applyBorder="1" applyAlignment="1">
      <alignment horizontal="center" vertical="center" wrapText="1"/>
    </xf>
    <xf numFmtId="0" fontId="13" fillId="5" borderId="14" xfId="0" applyFont="1" applyFill="1" applyBorder="1" applyAlignment="1">
      <alignment horizontal="center" vertical="center" wrapText="1"/>
    </xf>
    <xf numFmtId="0" fontId="13" fillId="5" borderId="0" xfId="0" applyFont="1" applyFill="1" applyAlignment="1">
      <alignment horizontal="center" vertical="center" wrapText="1"/>
    </xf>
    <xf numFmtId="0" fontId="1" fillId="5" borderId="28" xfId="0" applyFont="1" applyFill="1" applyBorder="1" applyAlignment="1">
      <alignment horizontal="center" vertical="center"/>
    </xf>
    <xf numFmtId="0" fontId="1" fillId="0" borderId="25" xfId="0" applyFont="1" applyBorder="1" applyAlignment="1">
      <alignment horizontal="center" vertical="center"/>
    </xf>
    <xf numFmtId="0" fontId="4" fillId="2" borderId="1" xfId="0" applyFont="1" applyFill="1" applyBorder="1" applyAlignment="1">
      <alignment horizontal="center" vertical="center" textRotation="90" wrapText="1"/>
    </xf>
    <xf numFmtId="0" fontId="6" fillId="0" borderId="1" xfId="0" applyFont="1" applyBorder="1" applyAlignment="1">
      <alignment horizontal="center" vertical="center" wrapText="1"/>
    </xf>
    <xf numFmtId="2" fontId="12" fillId="6" borderId="1" xfId="0" applyNumberFormat="1" applyFont="1" applyFill="1" applyBorder="1" applyAlignment="1">
      <alignment horizontal="center" vertical="center" textRotation="90" wrapText="1"/>
    </xf>
    <xf numFmtId="2" fontId="19" fillId="6" borderId="1" xfId="0" applyNumberFormat="1" applyFont="1" applyFill="1" applyBorder="1" applyAlignment="1">
      <alignment horizontal="center" vertical="center" wrapText="1"/>
    </xf>
    <xf numFmtId="0" fontId="2" fillId="0" borderId="0" xfId="0" applyFont="1" applyAlignment="1">
      <alignment horizontal="center" vertical="center"/>
    </xf>
    <xf numFmtId="0" fontId="4" fillId="4" borderId="32" xfId="0" applyFont="1" applyFill="1" applyBorder="1" applyAlignment="1">
      <alignment horizontal="center" vertical="center" textRotation="90" wrapText="1"/>
    </xf>
    <xf numFmtId="0" fontId="1" fillId="0" borderId="17" xfId="0" applyFont="1" applyBorder="1" applyAlignment="1">
      <alignment horizontal="center" vertical="center" wrapText="1"/>
    </xf>
    <xf numFmtId="2" fontId="12" fillId="6" borderId="15" xfId="0" applyNumberFormat="1" applyFont="1" applyFill="1" applyBorder="1" applyAlignment="1">
      <alignment horizontal="center" vertical="center" textRotation="90" wrapText="1"/>
    </xf>
    <xf numFmtId="2" fontId="19" fillId="6" borderId="15" xfId="0" applyNumberFormat="1" applyFont="1" applyFill="1" applyBorder="1" applyAlignment="1">
      <alignment horizontal="center" vertical="center" wrapText="1"/>
    </xf>
    <xf numFmtId="2" fontId="19" fillId="6" borderId="17" xfId="0" applyNumberFormat="1" applyFont="1" applyFill="1" applyBorder="1" applyAlignment="1">
      <alignment horizontal="center" vertical="center" wrapText="1"/>
    </xf>
    <xf numFmtId="2" fontId="19" fillId="6" borderId="18" xfId="0" applyNumberFormat="1" applyFont="1" applyFill="1" applyBorder="1" applyAlignment="1">
      <alignment horizontal="center" vertical="center" wrapText="1"/>
    </xf>
    <xf numFmtId="2" fontId="19" fillId="0" borderId="0" xfId="0" applyNumberFormat="1" applyFont="1" applyAlignment="1">
      <alignment horizontal="center" vertical="center"/>
    </xf>
    <xf numFmtId="0" fontId="6" fillId="4" borderId="6" xfId="0" applyFont="1" applyFill="1" applyBorder="1" applyAlignment="1">
      <alignment horizontal="center" vertical="center" textRotation="90" wrapText="1"/>
    </xf>
    <xf numFmtId="0" fontId="6" fillId="4" borderId="8" xfId="0" applyFont="1" applyFill="1" applyBorder="1" applyAlignment="1">
      <alignment horizontal="center" vertical="center" textRotation="90" wrapText="1"/>
    </xf>
    <xf numFmtId="0" fontId="6" fillId="4" borderId="1" xfId="0" applyFont="1" applyFill="1" applyBorder="1" applyAlignment="1">
      <alignment horizontal="center" vertical="center" textRotation="90" wrapText="1"/>
    </xf>
    <xf numFmtId="0" fontId="4" fillId="0" borderId="1" xfId="0" applyFont="1" applyBorder="1" applyAlignment="1">
      <alignment horizontal="center" vertical="center" wrapText="1"/>
    </xf>
    <xf numFmtId="0" fontId="4" fillId="3" borderId="1" xfId="0" applyFont="1" applyFill="1" applyBorder="1" applyAlignment="1">
      <alignment horizontal="left" vertical="center" wrapText="1"/>
    </xf>
    <xf numFmtId="0" fontId="6" fillId="4" borderId="4" xfId="0" applyFont="1" applyFill="1" applyBorder="1" applyAlignment="1">
      <alignment horizontal="center" vertical="center" textRotation="90" wrapText="1"/>
    </xf>
    <xf numFmtId="0" fontId="4" fillId="3" borderId="9"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9" fillId="4" borderId="6" xfId="0" applyFont="1" applyFill="1" applyBorder="1" applyAlignment="1">
      <alignment horizontal="center" vertical="center" textRotation="90" wrapText="1"/>
    </xf>
    <xf numFmtId="0" fontId="9" fillId="4" borderId="8" xfId="0" applyFont="1" applyFill="1" applyBorder="1" applyAlignment="1">
      <alignment horizontal="center" vertical="center" textRotation="90" wrapText="1"/>
    </xf>
    <xf numFmtId="0" fontId="9" fillId="4" borderId="4" xfId="0" applyFont="1" applyFill="1" applyBorder="1" applyAlignment="1">
      <alignment horizontal="center" vertical="center" textRotation="90" wrapText="1"/>
    </xf>
    <xf numFmtId="0" fontId="1" fillId="4" borderId="6" xfId="0" applyFont="1" applyFill="1" applyBorder="1" applyAlignment="1">
      <alignment horizontal="center" vertical="center" textRotation="90" wrapText="1"/>
    </xf>
    <xf numFmtId="0" fontId="1" fillId="4" borderId="1" xfId="0" applyFont="1" applyFill="1" applyBorder="1" applyAlignment="1">
      <alignment horizontal="center" vertical="center" textRotation="90" wrapText="1"/>
    </xf>
    <xf numFmtId="0" fontId="1" fillId="4" borderId="8" xfId="0" applyFont="1" applyFill="1" applyBorder="1" applyAlignment="1">
      <alignment horizontal="center" vertical="center" textRotation="90" wrapText="1"/>
    </xf>
    <xf numFmtId="0" fontId="1" fillId="4" borderId="4" xfId="0" applyFont="1" applyFill="1" applyBorder="1" applyAlignment="1">
      <alignment horizontal="center" vertical="center" textRotation="90"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3" borderId="26"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2" fillId="0" borderId="19" xfId="0" applyFont="1" applyBorder="1" applyAlignment="1">
      <alignment horizontal="center" vertical="center"/>
    </xf>
    <xf numFmtId="0" fontId="2" fillId="0" borderId="10" xfId="0" applyFont="1" applyBorder="1" applyAlignment="1">
      <alignment horizontal="center" vertical="center"/>
    </xf>
    <xf numFmtId="0" fontId="10" fillId="0" borderId="1" xfId="0" applyFont="1" applyBorder="1" applyAlignment="1">
      <alignment horizontal="center" vertical="center"/>
    </xf>
    <xf numFmtId="0" fontId="10" fillId="0" borderId="21" xfId="0" applyFont="1" applyBorder="1" applyAlignment="1">
      <alignment horizontal="center" vertical="center"/>
    </xf>
    <xf numFmtId="0" fontId="10" fillId="0" borderId="22" xfId="0" applyFont="1" applyBorder="1" applyAlignment="1">
      <alignment horizontal="center" vertical="center"/>
    </xf>
    <xf numFmtId="0" fontId="2" fillId="0" borderId="23" xfId="0" applyFont="1" applyBorder="1" applyAlignment="1">
      <alignment horizontal="center" vertical="center"/>
    </xf>
    <xf numFmtId="0" fontId="2" fillId="0" borderId="1" xfId="0" applyFont="1" applyBorder="1" applyAlignment="1">
      <alignment horizontal="center" vertical="center"/>
    </xf>
    <xf numFmtId="0" fontId="15" fillId="0" borderId="1" xfId="0" applyFont="1" applyBorder="1" applyAlignment="1">
      <alignment horizontal="center" vertical="center" textRotation="90" wrapText="1"/>
    </xf>
    <xf numFmtId="0" fontId="15" fillId="0" borderId="13" xfId="0" applyFont="1" applyBorder="1" applyAlignment="1">
      <alignment horizontal="center" vertical="center" textRotation="90" wrapText="1"/>
    </xf>
    <xf numFmtId="0" fontId="2" fillId="0" borderId="1" xfId="0" applyFont="1" applyBorder="1" applyAlignment="1">
      <alignment horizontal="center" vertical="center" textRotation="90"/>
    </xf>
    <xf numFmtId="0" fontId="2" fillId="0" borderId="25" xfId="0" applyFont="1" applyBorder="1" applyAlignment="1">
      <alignment horizontal="center" vertical="center" textRotation="90"/>
    </xf>
    <xf numFmtId="0" fontId="2" fillId="0" borderId="20" xfId="0" applyFont="1" applyBorder="1" applyAlignment="1">
      <alignment horizontal="center" vertical="center" textRotation="90"/>
    </xf>
    <xf numFmtId="0" fontId="4" fillId="4" borderId="32" xfId="0" applyFont="1" applyFill="1" applyBorder="1" applyAlignment="1">
      <alignment horizontal="center" vertical="center" textRotation="90" wrapText="1"/>
    </xf>
    <xf numFmtId="0" fontId="6" fillId="4" borderId="32" xfId="0" applyFont="1" applyFill="1" applyBorder="1" applyAlignment="1">
      <alignment horizontal="center" vertical="center" textRotation="90" wrapText="1"/>
    </xf>
    <xf numFmtId="0" fontId="6" fillId="4" borderId="33" xfId="0" applyFont="1" applyFill="1" applyBorder="1" applyAlignment="1">
      <alignment horizontal="center" vertical="center" textRotation="90" wrapText="1"/>
    </xf>
    <xf numFmtId="0" fontId="4" fillId="2" borderId="30" xfId="0" applyFont="1" applyFill="1" applyBorder="1" applyAlignment="1">
      <alignment horizontal="center" vertical="center" wrapText="1"/>
    </xf>
    <xf numFmtId="0" fontId="4" fillId="2" borderId="31" xfId="0" applyFont="1" applyFill="1" applyBorder="1" applyAlignment="1">
      <alignment horizontal="center" vertical="center" wrapText="1"/>
    </xf>
    <xf numFmtId="0" fontId="4" fillId="5" borderId="32"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5" borderId="15" xfId="0" applyFont="1" applyFill="1" applyBorder="1" applyAlignment="1">
      <alignment horizontal="center" vertical="center" wrapText="1"/>
    </xf>
    <xf numFmtId="0" fontId="2" fillId="4" borderId="32" xfId="0" applyFont="1" applyFill="1" applyBorder="1" applyAlignment="1">
      <alignment horizontal="center" vertical="center" textRotation="90" wrapText="1"/>
    </xf>
    <xf numFmtId="0" fontId="1" fillId="4" borderId="32" xfId="0" applyFont="1" applyFill="1" applyBorder="1" applyAlignment="1">
      <alignment horizontal="center" vertical="center" textRotation="90" wrapText="1"/>
    </xf>
    <xf numFmtId="0" fontId="21" fillId="0" borderId="0" xfId="0" applyFont="1" applyAlignment="1">
      <alignment horizontal="center" vertical="center"/>
    </xf>
    <xf numFmtId="0" fontId="4" fillId="2" borderId="29" xfId="0" applyFont="1" applyFill="1" applyBorder="1" applyAlignment="1">
      <alignment horizontal="center" vertical="center" wrapText="1"/>
    </xf>
    <xf numFmtId="0" fontId="4" fillId="2" borderId="32" xfId="0" applyFont="1" applyFill="1" applyBorder="1" applyAlignment="1">
      <alignment horizontal="center" vertical="center" wrapText="1"/>
    </xf>
    <xf numFmtId="0" fontId="2" fillId="2" borderId="30" xfId="0" applyFont="1" applyFill="1" applyBorder="1" applyAlignment="1">
      <alignment horizontal="center" vertical="center" wrapText="1"/>
    </xf>
  </cellXfs>
  <cellStyles count="1">
    <cellStyle name="Normal" xfId="0" builtinId="0"/>
  </cellStyles>
  <dxfs count="4">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67F2A-186C-4884-A62D-D8363A44A805}">
  <sheetPr codeName="Sheet2"/>
  <dimension ref="A1:V162"/>
  <sheetViews>
    <sheetView tabSelected="1" zoomScale="115" zoomScaleNormal="115" workbookViewId="0">
      <selection activeCell="R10" sqref="R10"/>
    </sheetView>
  </sheetViews>
  <sheetFormatPr defaultRowHeight="13.8" x14ac:dyDescent="0.3"/>
  <cols>
    <col min="1" max="2" width="8.88671875" style="20"/>
    <col min="3" max="3" width="33.33203125" style="20" customWidth="1"/>
    <col min="4" max="4" width="7.44140625" style="20" customWidth="1"/>
    <col min="5" max="5" width="6.21875" style="35" customWidth="1"/>
    <col min="6" max="6" width="8.88671875" style="20" customWidth="1"/>
    <col min="7" max="7" width="6.21875" style="35" customWidth="1"/>
    <col min="8" max="8" width="5" style="20" customWidth="1"/>
    <col min="9" max="9" width="6.21875" style="35" customWidth="1"/>
    <col min="10" max="10" width="8.88671875" style="20"/>
    <col min="11" max="11" width="6.21875" style="35" customWidth="1"/>
    <col min="12" max="12" width="8.88671875" style="20"/>
    <col min="13" max="15" width="6" style="20" customWidth="1"/>
    <col min="16" max="16" width="11.5546875" style="2" customWidth="1"/>
    <col min="17" max="20" width="10.6640625" style="2" customWidth="1"/>
    <col min="21" max="23" width="8.88671875" style="2"/>
    <col min="24" max="24" width="9.21875" style="2" customWidth="1"/>
    <col min="25" max="25" width="10.5546875" style="2" bestFit="1" customWidth="1"/>
    <col min="26" max="26" width="10.6640625" style="2" customWidth="1"/>
    <col min="27" max="29" width="9.44140625" style="2" bestFit="1" customWidth="1"/>
    <col min="30" max="16384" width="8.88671875" style="2"/>
  </cols>
  <sheetData>
    <row r="1" spans="1:22" ht="22.8" x14ac:dyDescent="0.3">
      <c r="A1" s="95" t="s">
        <v>151</v>
      </c>
      <c r="B1" s="95"/>
      <c r="C1" s="95"/>
      <c r="D1" s="95"/>
      <c r="E1" s="95"/>
      <c r="F1" s="95"/>
      <c r="G1" s="95"/>
      <c r="H1" s="95"/>
      <c r="I1" s="95"/>
      <c r="J1" s="95"/>
      <c r="K1" s="95"/>
      <c r="L1" s="95"/>
      <c r="M1" s="95"/>
      <c r="N1" s="95"/>
      <c r="O1" s="95"/>
      <c r="P1" s="96"/>
      <c r="Q1" s="96"/>
      <c r="R1" s="96"/>
      <c r="S1" s="96"/>
      <c r="T1" s="96"/>
      <c r="U1" s="96"/>
      <c r="V1" s="97"/>
    </row>
    <row r="2" spans="1:22" x14ac:dyDescent="0.3">
      <c r="A2" s="74" t="s">
        <v>142</v>
      </c>
      <c r="B2" s="74"/>
      <c r="C2" s="74"/>
      <c r="D2" s="74"/>
      <c r="E2" s="74"/>
      <c r="F2" s="74"/>
      <c r="G2" s="74"/>
      <c r="H2" s="74"/>
      <c r="I2" s="33"/>
      <c r="J2" s="99" t="s">
        <v>143</v>
      </c>
      <c r="K2" s="99"/>
      <c r="L2" s="99"/>
      <c r="M2" s="99" t="s">
        <v>144</v>
      </c>
      <c r="N2" s="99"/>
      <c r="O2" s="99" t="s">
        <v>145</v>
      </c>
      <c r="P2" s="94"/>
      <c r="Q2" s="93" t="s">
        <v>146</v>
      </c>
      <c r="R2" s="94"/>
      <c r="S2" s="93" t="s">
        <v>147</v>
      </c>
      <c r="T2" s="94"/>
      <c r="U2" s="93" t="s">
        <v>148</v>
      </c>
      <c r="V2" s="98"/>
    </row>
    <row r="3" spans="1:22" x14ac:dyDescent="0.3">
      <c r="A3" s="75" t="s">
        <v>6</v>
      </c>
      <c r="B3" s="75"/>
      <c r="C3" s="75"/>
      <c r="D3" s="75"/>
      <c r="E3" s="75"/>
      <c r="F3" s="75"/>
      <c r="G3" s="75"/>
      <c r="H3" s="75"/>
      <c r="I3" s="34"/>
      <c r="J3" s="13">
        <f>L12</f>
        <v>18.645</v>
      </c>
      <c r="L3" s="21">
        <f>(J3/20)*100</f>
        <v>93.225000000000009</v>
      </c>
      <c r="M3" s="13">
        <f>L15</f>
        <v>17.3</v>
      </c>
      <c r="N3" s="21">
        <f t="shared" ref="N3:N6" si="0">(M3/20)*100</f>
        <v>86.5</v>
      </c>
      <c r="O3" s="13">
        <f>L21</f>
        <v>18.982500000000002</v>
      </c>
      <c r="P3" s="25">
        <f t="shared" ref="P3:P6" si="1">(O3/20)*100</f>
        <v>94.912500000000009</v>
      </c>
      <c r="Q3" s="13">
        <f>L26</f>
        <v>15.755000000000001</v>
      </c>
      <c r="R3" s="21">
        <f t="shared" ref="R3:R6" si="2">(Q3/20)*100</f>
        <v>78.775000000000006</v>
      </c>
      <c r="S3" s="13">
        <f>L33</f>
        <v>15.940000000000001</v>
      </c>
      <c r="T3" s="21">
        <f t="shared" ref="T3:T6" si="3">(S3/20)*100</f>
        <v>79.7</v>
      </c>
      <c r="U3" s="13">
        <f>L40</f>
        <v>14.079999999999998</v>
      </c>
      <c r="V3" s="23">
        <f>(U3/20)*100</f>
        <v>70.399999999999991</v>
      </c>
    </row>
    <row r="4" spans="1:22" x14ac:dyDescent="0.3">
      <c r="A4" s="75" t="s">
        <v>140</v>
      </c>
      <c r="B4" s="75"/>
      <c r="C4" s="75"/>
      <c r="D4" s="75"/>
      <c r="E4" s="75"/>
      <c r="F4" s="75"/>
      <c r="G4" s="75"/>
      <c r="H4" s="75"/>
      <c r="I4" s="34"/>
      <c r="J4" s="13">
        <f>L47</f>
        <v>15.440000000000001</v>
      </c>
      <c r="L4" s="21">
        <f t="shared" ref="L4:L6" si="4">(J4/20)*100</f>
        <v>77.2</v>
      </c>
      <c r="M4" s="13">
        <f>L50</f>
        <v>14.61</v>
      </c>
      <c r="N4" s="21">
        <f t="shared" si="0"/>
        <v>73.05</v>
      </c>
      <c r="O4" s="13">
        <f>L55</f>
        <v>16.105</v>
      </c>
      <c r="P4" s="25">
        <f t="shared" si="1"/>
        <v>80.525000000000006</v>
      </c>
      <c r="Q4" s="13">
        <f>L58</f>
        <v>16.627500000000001</v>
      </c>
      <c r="R4" s="21">
        <f t="shared" si="2"/>
        <v>83.137500000000003</v>
      </c>
      <c r="S4" s="13">
        <f>L63</f>
        <v>16.403333333333332</v>
      </c>
      <c r="T4" s="21">
        <f t="shared" si="3"/>
        <v>82.016666666666666</v>
      </c>
      <c r="U4" s="13">
        <f>L73</f>
        <v>15.288</v>
      </c>
      <c r="V4" s="23">
        <f t="shared" ref="V4:V6" si="5">(U4/20)*100</f>
        <v>76.44</v>
      </c>
    </row>
    <row r="5" spans="1:22" x14ac:dyDescent="0.3">
      <c r="A5" s="75" t="s">
        <v>65</v>
      </c>
      <c r="B5" s="75"/>
      <c r="C5" s="75"/>
      <c r="D5" s="75"/>
      <c r="E5" s="75"/>
      <c r="F5" s="75"/>
      <c r="G5" s="75"/>
      <c r="H5" s="75"/>
      <c r="I5" s="34"/>
      <c r="J5" s="13">
        <f>L80</f>
        <v>16.3</v>
      </c>
      <c r="L5" s="21">
        <f t="shared" si="4"/>
        <v>81.5</v>
      </c>
      <c r="M5" s="13">
        <f>L82</f>
        <v>11.645</v>
      </c>
      <c r="N5" s="21">
        <f t="shared" si="0"/>
        <v>58.224999999999994</v>
      </c>
      <c r="O5" s="13">
        <f>L89</f>
        <v>18.083333333333336</v>
      </c>
      <c r="P5" s="25">
        <f t="shared" si="1"/>
        <v>90.416666666666686</v>
      </c>
      <c r="Q5" s="13">
        <f>L96</f>
        <v>16.46</v>
      </c>
      <c r="R5" s="21">
        <f t="shared" si="2"/>
        <v>82.300000000000011</v>
      </c>
      <c r="S5" s="13">
        <f>L105</f>
        <v>15.869</v>
      </c>
      <c r="T5" s="21">
        <f t="shared" si="3"/>
        <v>79.344999999999999</v>
      </c>
      <c r="U5" s="13">
        <f>L116</f>
        <v>13.828333333333333</v>
      </c>
      <c r="V5" s="23">
        <f t="shared" si="5"/>
        <v>69.141666666666666</v>
      </c>
    </row>
    <row r="6" spans="1:22" ht="14.4" thickBot="1" x14ac:dyDescent="0.35">
      <c r="A6" s="75" t="s">
        <v>141</v>
      </c>
      <c r="B6" s="75"/>
      <c r="C6" s="75"/>
      <c r="D6" s="75"/>
      <c r="E6" s="75"/>
      <c r="F6" s="75"/>
      <c r="G6" s="75"/>
      <c r="H6" s="75"/>
      <c r="I6" s="34"/>
      <c r="J6" s="13">
        <f>L124</f>
        <v>35.015000000000001</v>
      </c>
      <c r="L6" s="21">
        <f t="shared" si="4"/>
        <v>175.07499999999999</v>
      </c>
      <c r="M6" s="13">
        <f>L129</f>
        <v>34.4</v>
      </c>
      <c r="N6" s="21">
        <f t="shared" si="0"/>
        <v>172</v>
      </c>
      <c r="O6" s="13">
        <f>L135</f>
        <v>29.344999999999999</v>
      </c>
      <c r="P6" s="26">
        <f t="shared" si="1"/>
        <v>146.72499999999999</v>
      </c>
      <c r="Q6" s="15">
        <f>L140</f>
        <v>32.325000000000003</v>
      </c>
      <c r="R6" s="22">
        <f t="shared" si="2"/>
        <v>161.62500000000003</v>
      </c>
      <c r="S6" s="15">
        <f>L149</f>
        <v>34.954285714285717</v>
      </c>
      <c r="T6" s="22">
        <f t="shared" si="3"/>
        <v>174.77142857142857</v>
      </c>
      <c r="U6" s="15">
        <f>L157</f>
        <v>38.183999999999997</v>
      </c>
      <c r="V6" s="24">
        <f t="shared" si="5"/>
        <v>190.92</v>
      </c>
    </row>
    <row r="9" spans="1:22" ht="19.8" customHeight="1" x14ac:dyDescent="0.3">
      <c r="A9" s="87" t="s">
        <v>0</v>
      </c>
      <c r="B9" s="88"/>
      <c r="C9" s="89" t="s">
        <v>137</v>
      </c>
      <c r="D9" s="89" t="s">
        <v>1</v>
      </c>
      <c r="E9" s="89"/>
      <c r="F9" s="89"/>
      <c r="G9" s="89"/>
      <c r="H9" s="89"/>
      <c r="I9" s="89"/>
      <c r="J9" s="89"/>
      <c r="K9" s="33"/>
      <c r="L9" s="43"/>
    </row>
    <row r="10" spans="1:22" ht="139.19999999999999" customHeight="1" x14ac:dyDescent="0.3">
      <c r="A10" s="87"/>
      <c r="B10" s="88"/>
      <c r="C10" s="89"/>
      <c r="D10" s="44" t="s">
        <v>2</v>
      </c>
      <c r="E10" s="36"/>
      <c r="F10" s="44" t="s">
        <v>3</v>
      </c>
      <c r="G10" s="36"/>
      <c r="H10" s="44" t="s">
        <v>4</v>
      </c>
      <c r="I10" s="36"/>
      <c r="J10" s="44" t="s">
        <v>5</v>
      </c>
      <c r="K10" s="36"/>
      <c r="L10" s="100" t="s">
        <v>150</v>
      </c>
      <c r="M10" s="102" t="s">
        <v>154</v>
      </c>
      <c r="N10" s="102" t="s">
        <v>155</v>
      </c>
      <c r="O10" s="102" t="s">
        <v>156</v>
      </c>
    </row>
    <row r="11" spans="1:22" ht="12" customHeight="1" thickBot="1" x14ac:dyDescent="0.35">
      <c r="A11" s="90" t="s">
        <v>6</v>
      </c>
      <c r="B11" s="91"/>
      <c r="C11" s="92"/>
      <c r="D11" s="3">
        <v>0</v>
      </c>
      <c r="E11" s="30"/>
      <c r="F11" s="3">
        <v>0.33</v>
      </c>
      <c r="G11" s="30"/>
      <c r="H11" s="19">
        <v>0.66</v>
      </c>
      <c r="I11" s="38"/>
      <c r="J11" s="17" t="s">
        <v>149</v>
      </c>
      <c r="K11" s="39"/>
      <c r="L11" s="101"/>
      <c r="M11" s="103"/>
      <c r="N11" s="103"/>
      <c r="O11" s="103"/>
    </row>
    <row r="12" spans="1:22" ht="14.4" thickBot="1" x14ac:dyDescent="0.35">
      <c r="A12" s="8"/>
      <c r="B12" s="9"/>
      <c r="C12" s="10"/>
      <c r="D12" s="11">
        <f>(SUM(D13:D14)/2)*0.01</f>
        <v>0</v>
      </c>
      <c r="E12" s="31"/>
      <c r="F12" s="11">
        <f>(SUM(F13:F14)/2)*0.33</f>
        <v>0.16500000000000001</v>
      </c>
      <c r="G12" s="31"/>
      <c r="H12" s="12">
        <f>(SUM(H13:H14)/2)*0.66</f>
        <v>1.98</v>
      </c>
      <c r="I12" s="37"/>
      <c r="J12" s="12">
        <f>(SUM(J13:J14)/2)*1</f>
        <v>16.5</v>
      </c>
      <c r="K12" s="37"/>
      <c r="L12" s="27">
        <f>SUM(D12:J12)</f>
        <v>18.645</v>
      </c>
      <c r="M12" s="104"/>
      <c r="N12" s="104"/>
      <c r="O12" s="104"/>
    </row>
    <row r="13" spans="1:22" ht="31.2" customHeight="1" thickBot="1" x14ac:dyDescent="0.35">
      <c r="A13" s="71" t="s">
        <v>7</v>
      </c>
      <c r="B13" s="4">
        <v>1</v>
      </c>
      <c r="C13" s="4" t="s">
        <v>8</v>
      </c>
      <c r="D13" s="4">
        <v>0</v>
      </c>
      <c r="E13" s="32">
        <f>(D13/20)*100</f>
        <v>0</v>
      </c>
      <c r="F13" s="4">
        <v>0</v>
      </c>
      <c r="G13" s="32">
        <f>(F13/20)*100</f>
        <v>0</v>
      </c>
      <c r="H13" s="18">
        <v>3</v>
      </c>
      <c r="I13" s="32">
        <f>(H13/20)*100</f>
        <v>15</v>
      </c>
      <c r="J13" s="18">
        <v>17</v>
      </c>
      <c r="K13" s="32">
        <f>(J13/20)*100</f>
        <v>85</v>
      </c>
      <c r="L13" s="28">
        <f>D13+F13+H13+J13</f>
        <v>20</v>
      </c>
      <c r="N13" s="20" t="s">
        <v>153</v>
      </c>
    </row>
    <row r="14" spans="1:22" ht="42" customHeight="1" thickBot="1" x14ac:dyDescent="0.35">
      <c r="A14" s="76"/>
      <c r="B14" s="4">
        <v>2</v>
      </c>
      <c r="C14" s="4" t="s">
        <v>9</v>
      </c>
      <c r="D14" s="4">
        <v>0</v>
      </c>
      <c r="E14" s="32">
        <f t="shared" ref="E14:E77" si="6">(D14/20)*100</f>
        <v>0</v>
      </c>
      <c r="F14" s="4">
        <v>1</v>
      </c>
      <c r="G14" s="32">
        <f t="shared" ref="G14:G77" si="7">(F14/20)*100</f>
        <v>5</v>
      </c>
      <c r="H14" s="18">
        <v>3</v>
      </c>
      <c r="I14" s="32">
        <f t="shared" ref="I14:I77" si="8">(H14/20)*100</f>
        <v>15</v>
      </c>
      <c r="J14" s="18">
        <v>16</v>
      </c>
      <c r="K14" s="32">
        <f t="shared" ref="K14:K77" si="9">(J14/20)*100</f>
        <v>80</v>
      </c>
      <c r="L14" s="28">
        <f t="shared" ref="L14:L77" si="10">D14+F14+H14+J14</f>
        <v>20</v>
      </c>
      <c r="N14" s="20" t="s">
        <v>153</v>
      </c>
    </row>
    <row r="15" spans="1:22" ht="14.4" thickBot="1" x14ac:dyDescent="0.35">
      <c r="A15" s="8"/>
      <c r="B15" s="9"/>
      <c r="C15" s="10"/>
      <c r="D15" s="11">
        <f>(SUM(D16:D20)/5)*0.01</f>
        <v>2E-3</v>
      </c>
      <c r="E15" s="32">
        <f t="shared" si="6"/>
        <v>0.01</v>
      </c>
      <c r="F15" s="11">
        <f>(SUM(F16:F20)/5)*0.33</f>
        <v>0.46199999999999997</v>
      </c>
      <c r="G15" s="32">
        <f t="shared" si="7"/>
        <v>2.31</v>
      </c>
      <c r="H15" s="12">
        <f>(SUM(H16:H20)/5)*0.66</f>
        <v>3.036</v>
      </c>
      <c r="I15" s="32">
        <f t="shared" si="8"/>
        <v>15.18</v>
      </c>
      <c r="J15" s="12">
        <f>(SUM(J16:J20)/5)*1</f>
        <v>13.8</v>
      </c>
      <c r="K15" s="32">
        <f t="shared" si="9"/>
        <v>69</v>
      </c>
      <c r="L15" s="28">
        <f t="shared" si="10"/>
        <v>17.3</v>
      </c>
    </row>
    <row r="16" spans="1:22" ht="28.2" thickBot="1" x14ac:dyDescent="0.35">
      <c r="A16" s="71" t="s">
        <v>138</v>
      </c>
      <c r="B16" s="4">
        <v>1</v>
      </c>
      <c r="C16" s="4" t="s">
        <v>10</v>
      </c>
      <c r="D16" s="4">
        <v>0</v>
      </c>
      <c r="E16" s="32">
        <f t="shared" si="6"/>
        <v>0</v>
      </c>
      <c r="F16" s="4">
        <v>0</v>
      </c>
      <c r="G16" s="32">
        <f t="shared" si="7"/>
        <v>0</v>
      </c>
      <c r="H16" s="18">
        <v>3</v>
      </c>
      <c r="I16" s="32">
        <f t="shared" si="8"/>
        <v>15</v>
      </c>
      <c r="J16" s="18">
        <v>17</v>
      </c>
      <c r="K16" s="32">
        <f t="shared" si="9"/>
        <v>85</v>
      </c>
      <c r="L16" s="28">
        <f t="shared" si="10"/>
        <v>20</v>
      </c>
      <c r="N16" s="20" t="s">
        <v>153</v>
      </c>
    </row>
    <row r="17" spans="1:15" ht="41.4" x14ac:dyDescent="0.3">
      <c r="A17" s="72"/>
      <c r="B17" s="14">
        <v>2</v>
      </c>
      <c r="C17" s="14" t="s">
        <v>11</v>
      </c>
      <c r="D17" s="14">
        <v>0</v>
      </c>
      <c r="E17" s="45">
        <f t="shared" si="6"/>
        <v>0</v>
      </c>
      <c r="F17" s="14">
        <v>3</v>
      </c>
      <c r="G17" s="45">
        <f t="shared" si="7"/>
        <v>15</v>
      </c>
      <c r="H17" s="5">
        <v>7</v>
      </c>
      <c r="I17" s="45">
        <f t="shared" si="8"/>
        <v>35</v>
      </c>
      <c r="J17" s="5">
        <v>10</v>
      </c>
      <c r="K17" s="45">
        <f t="shared" si="9"/>
        <v>50</v>
      </c>
      <c r="L17" s="46">
        <f t="shared" si="10"/>
        <v>20</v>
      </c>
      <c r="M17" s="47"/>
      <c r="N17" s="47" t="s">
        <v>153</v>
      </c>
      <c r="O17" s="47"/>
    </row>
    <row r="18" spans="1:15" ht="27.6" x14ac:dyDescent="0.3">
      <c r="A18" s="73"/>
      <c r="B18" s="1">
        <v>3</v>
      </c>
      <c r="C18" s="1" t="s">
        <v>12</v>
      </c>
      <c r="D18" s="1">
        <v>0</v>
      </c>
      <c r="E18" s="16">
        <f t="shared" si="6"/>
        <v>0</v>
      </c>
      <c r="F18" s="1">
        <v>1</v>
      </c>
      <c r="G18" s="16">
        <f t="shared" si="7"/>
        <v>5</v>
      </c>
      <c r="H18" s="1">
        <v>8</v>
      </c>
      <c r="I18" s="16">
        <f t="shared" si="8"/>
        <v>40</v>
      </c>
      <c r="J18" s="1">
        <v>11</v>
      </c>
      <c r="K18" s="16">
        <f t="shared" si="9"/>
        <v>55.000000000000007</v>
      </c>
      <c r="L18" s="20">
        <f t="shared" si="10"/>
        <v>20</v>
      </c>
      <c r="M18" s="20" t="s">
        <v>153</v>
      </c>
      <c r="N18" s="20" t="s">
        <v>153</v>
      </c>
    </row>
    <row r="19" spans="1:15" ht="55.8" thickBot="1" x14ac:dyDescent="0.35">
      <c r="A19" s="72"/>
      <c r="B19" s="4">
        <v>4</v>
      </c>
      <c r="C19" s="4" t="s">
        <v>13</v>
      </c>
      <c r="D19" s="4">
        <v>1</v>
      </c>
      <c r="E19" s="32">
        <f t="shared" si="6"/>
        <v>5</v>
      </c>
      <c r="F19" s="4">
        <v>2</v>
      </c>
      <c r="G19" s="32">
        <f t="shared" si="7"/>
        <v>10</v>
      </c>
      <c r="H19" s="18">
        <v>2</v>
      </c>
      <c r="I19" s="32">
        <f t="shared" si="8"/>
        <v>10</v>
      </c>
      <c r="J19" s="18">
        <v>15</v>
      </c>
      <c r="K19" s="32">
        <f t="shared" si="9"/>
        <v>75</v>
      </c>
      <c r="L19" s="40">
        <f t="shared" si="10"/>
        <v>20</v>
      </c>
      <c r="M19" s="41"/>
      <c r="N19" s="41" t="s">
        <v>153</v>
      </c>
      <c r="O19" s="41"/>
    </row>
    <row r="20" spans="1:15" ht="42" thickBot="1" x14ac:dyDescent="0.35">
      <c r="A20" s="76"/>
      <c r="B20" s="4">
        <v>5</v>
      </c>
      <c r="C20" s="4" t="s">
        <v>14</v>
      </c>
      <c r="D20" s="4">
        <v>0</v>
      </c>
      <c r="E20" s="32">
        <f t="shared" si="6"/>
        <v>0</v>
      </c>
      <c r="F20" s="4">
        <v>1</v>
      </c>
      <c r="G20" s="32">
        <f t="shared" si="7"/>
        <v>5</v>
      </c>
      <c r="H20" s="18">
        <v>3</v>
      </c>
      <c r="I20" s="32">
        <f t="shared" si="8"/>
        <v>15</v>
      </c>
      <c r="J20" s="18">
        <v>16</v>
      </c>
      <c r="K20" s="32">
        <f t="shared" si="9"/>
        <v>80</v>
      </c>
      <c r="L20" s="28">
        <f t="shared" si="10"/>
        <v>20</v>
      </c>
      <c r="N20" s="20" t="s">
        <v>153</v>
      </c>
    </row>
    <row r="21" spans="1:15" ht="14.4" thickBot="1" x14ac:dyDescent="0.35">
      <c r="A21" s="8"/>
      <c r="B21" s="9"/>
      <c r="C21" s="10"/>
      <c r="D21" s="11">
        <f>SUM(D22:D25)/4*0.01</f>
        <v>0</v>
      </c>
      <c r="E21" s="32">
        <f t="shared" si="6"/>
        <v>0</v>
      </c>
      <c r="F21" s="11">
        <f>SUM(F22:F25)/4*0.33</f>
        <v>8.2500000000000004E-2</v>
      </c>
      <c r="G21" s="32">
        <f t="shared" si="7"/>
        <v>0.41250000000000003</v>
      </c>
      <c r="H21" s="12">
        <f>SUM(H22:H25)/4*0.66</f>
        <v>1.6500000000000001</v>
      </c>
      <c r="I21" s="32">
        <f t="shared" si="8"/>
        <v>8.25</v>
      </c>
      <c r="J21" s="12">
        <f>SUM(J22:J25)/4*1</f>
        <v>17.25</v>
      </c>
      <c r="K21" s="32">
        <f t="shared" si="9"/>
        <v>86.25</v>
      </c>
      <c r="L21" s="28">
        <f t="shared" si="10"/>
        <v>18.982500000000002</v>
      </c>
    </row>
    <row r="22" spans="1:15" ht="42" thickBot="1" x14ac:dyDescent="0.35">
      <c r="A22" s="71" t="s">
        <v>15</v>
      </c>
      <c r="B22" s="4">
        <v>1</v>
      </c>
      <c r="C22" s="4" t="s">
        <v>16</v>
      </c>
      <c r="D22" s="4">
        <v>0</v>
      </c>
      <c r="E22" s="32">
        <f t="shared" si="6"/>
        <v>0</v>
      </c>
      <c r="F22" s="4">
        <v>1</v>
      </c>
      <c r="G22" s="32">
        <f t="shared" si="7"/>
        <v>5</v>
      </c>
      <c r="H22" s="18">
        <v>3</v>
      </c>
      <c r="I22" s="32">
        <f t="shared" si="8"/>
        <v>15</v>
      </c>
      <c r="J22" s="18">
        <v>16</v>
      </c>
      <c r="K22" s="32">
        <f t="shared" si="9"/>
        <v>80</v>
      </c>
      <c r="L22" s="28">
        <f t="shared" si="10"/>
        <v>20</v>
      </c>
      <c r="N22" s="20" t="s">
        <v>153</v>
      </c>
    </row>
    <row r="23" spans="1:15" ht="42" thickBot="1" x14ac:dyDescent="0.35">
      <c r="A23" s="72"/>
      <c r="B23" s="4">
        <v>2</v>
      </c>
      <c r="C23" s="4" t="s">
        <v>17</v>
      </c>
      <c r="D23" s="4">
        <v>0</v>
      </c>
      <c r="E23" s="32">
        <f t="shared" si="6"/>
        <v>0</v>
      </c>
      <c r="F23" s="4">
        <v>0</v>
      </c>
      <c r="G23" s="32">
        <f t="shared" si="7"/>
        <v>0</v>
      </c>
      <c r="H23" s="18">
        <v>1</v>
      </c>
      <c r="I23" s="32">
        <f t="shared" si="8"/>
        <v>5</v>
      </c>
      <c r="J23" s="18">
        <v>19</v>
      </c>
      <c r="K23" s="32">
        <f t="shared" si="9"/>
        <v>95</v>
      </c>
      <c r="L23" s="28">
        <f t="shared" si="10"/>
        <v>20</v>
      </c>
      <c r="N23" s="20" t="s">
        <v>153</v>
      </c>
    </row>
    <row r="24" spans="1:15" ht="55.8" thickBot="1" x14ac:dyDescent="0.35">
      <c r="A24" s="72"/>
      <c r="B24" s="4">
        <v>3</v>
      </c>
      <c r="C24" s="4" t="s">
        <v>18</v>
      </c>
      <c r="D24" s="4">
        <v>0</v>
      </c>
      <c r="E24" s="32">
        <f t="shared" si="6"/>
        <v>0</v>
      </c>
      <c r="F24" s="4">
        <v>0</v>
      </c>
      <c r="G24" s="32">
        <f t="shared" si="7"/>
        <v>0</v>
      </c>
      <c r="H24" s="18">
        <v>2</v>
      </c>
      <c r="I24" s="32">
        <f t="shared" si="8"/>
        <v>10</v>
      </c>
      <c r="J24" s="18">
        <v>18</v>
      </c>
      <c r="K24" s="32">
        <f t="shared" si="9"/>
        <v>90</v>
      </c>
      <c r="L24" s="28">
        <f t="shared" si="10"/>
        <v>20</v>
      </c>
      <c r="N24" s="20" t="s">
        <v>153</v>
      </c>
    </row>
    <row r="25" spans="1:15" ht="42" thickBot="1" x14ac:dyDescent="0.35">
      <c r="A25" s="76"/>
      <c r="B25" s="4">
        <v>4</v>
      </c>
      <c r="C25" s="4" t="s">
        <v>19</v>
      </c>
      <c r="D25" s="4">
        <v>0</v>
      </c>
      <c r="E25" s="32">
        <f t="shared" si="6"/>
        <v>0</v>
      </c>
      <c r="F25" s="4">
        <v>0</v>
      </c>
      <c r="G25" s="32">
        <f t="shared" si="7"/>
        <v>0</v>
      </c>
      <c r="H25" s="18">
        <v>4</v>
      </c>
      <c r="I25" s="32">
        <f t="shared" si="8"/>
        <v>20</v>
      </c>
      <c r="J25" s="18">
        <v>16</v>
      </c>
      <c r="K25" s="32">
        <f t="shared" si="9"/>
        <v>80</v>
      </c>
      <c r="L25" s="28">
        <f t="shared" si="10"/>
        <v>20</v>
      </c>
      <c r="N25" s="20" t="s">
        <v>153</v>
      </c>
    </row>
    <row r="26" spans="1:15" ht="14.4" thickBot="1" x14ac:dyDescent="0.35">
      <c r="A26" s="8"/>
      <c r="B26" s="9"/>
      <c r="C26" s="10"/>
      <c r="D26" s="11">
        <f>SUM(D27:D28)/2*0.01</f>
        <v>0</v>
      </c>
      <c r="E26" s="32">
        <f t="shared" si="6"/>
        <v>0</v>
      </c>
      <c r="F26" s="11">
        <f>SUM(F27:F28)/2*0.33</f>
        <v>0.16500000000000001</v>
      </c>
      <c r="G26" s="32">
        <f t="shared" si="7"/>
        <v>0.82500000000000007</v>
      </c>
      <c r="H26" s="12">
        <f>SUM(H27:H28)/2*0.66</f>
        <v>7.5900000000000007</v>
      </c>
      <c r="I26" s="32">
        <f t="shared" si="8"/>
        <v>37.950000000000003</v>
      </c>
      <c r="J26" s="12">
        <f>SUM(J27:J28)/2*1</f>
        <v>8</v>
      </c>
      <c r="K26" s="32">
        <f t="shared" si="9"/>
        <v>40</v>
      </c>
      <c r="L26" s="28">
        <f t="shared" si="10"/>
        <v>15.755000000000001</v>
      </c>
    </row>
    <row r="27" spans="1:15" ht="28.2" thickBot="1" x14ac:dyDescent="0.35">
      <c r="A27" s="83" t="s">
        <v>139</v>
      </c>
      <c r="B27" s="4">
        <v>1</v>
      </c>
      <c r="C27" s="4" t="s">
        <v>20</v>
      </c>
      <c r="D27" s="4">
        <v>0</v>
      </c>
      <c r="E27" s="32">
        <f t="shared" si="6"/>
        <v>0</v>
      </c>
      <c r="F27" s="4">
        <v>0</v>
      </c>
      <c r="G27" s="32">
        <f t="shared" si="7"/>
        <v>0</v>
      </c>
      <c r="H27" s="18">
        <v>8</v>
      </c>
      <c r="I27" s="32">
        <f t="shared" si="8"/>
        <v>40</v>
      </c>
      <c r="J27" s="18">
        <v>12</v>
      </c>
      <c r="K27" s="32">
        <f t="shared" si="9"/>
        <v>60</v>
      </c>
      <c r="L27" s="28">
        <f t="shared" si="10"/>
        <v>20</v>
      </c>
      <c r="N27" s="20" t="s">
        <v>153</v>
      </c>
    </row>
    <row r="28" spans="1:15" ht="41.4" x14ac:dyDescent="0.3">
      <c r="A28" s="85"/>
      <c r="B28" s="14">
        <v>2</v>
      </c>
      <c r="C28" s="14" t="s">
        <v>21</v>
      </c>
      <c r="D28" s="14">
        <v>0</v>
      </c>
      <c r="E28" s="45">
        <f t="shared" si="6"/>
        <v>0</v>
      </c>
      <c r="F28" s="14">
        <v>1</v>
      </c>
      <c r="G28" s="45">
        <f t="shared" si="7"/>
        <v>5</v>
      </c>
      <c r="H28" s="5">
        <v>15</v>
      </c>
      <c r="I28" s="45">
        <f t="shared" si="8"/>
        <v>75</v>
      </c>
      <c r="J28" s="5">
        <v>4</v>
      </c>
      <c r="K28" s="45">
        <f t="shared" si="9"/>
        <v>20</v>
      </c>
      <c r="L28" s="46">
        <f t="shared" si="10"/>
        <v>20</v>
      </c>
      <c r="M28" s="47"/>
      <c r="N28" s="47" t="s">
        <v>153</v>
      </c>
      <c r="O28" s="47"/>
    </row>
    <row r="29" spans="1:15" ht="124.2" x14ac:dyDescent="0.3">
      <c r="A29" s="84"/>
      <c r="B29" s="1">
        <v>3</v>
      </c>
      <c r="C29" s="1" t="s">
        <v>22</v>
      </c>
      <c r="D29" s="1">
        <v>0</v>
      </c>
      <c r="E29" s="16">
        <f t="shared" si="6"/>
        <v>0</v>
      </c>
      <c r="F29" s="1">
        <v>2</v>
      </c>
      <c r="G29" s="16">
        <f t="shared" si="7"/>
        <v>10</v>
      </c>
      <c r="H29" s="1">
        <v>8</v>
      </c>
      <c r="I29" s="16">
        <f t="shared" si="8"/>
        <v>40</v>
      </c>
      <c r="J29" s="1">
        <v>10</v>
      </c>
      <c r="K29" s="16">
        <f t="shared" si="9"/>
        <v>50</v>
      </c>
      <c r="L29" s="20">
        <f t="shared" si="10"/>
        <v>20</v>
      </c>
      <c r="M29" s="20" t="s">
        <v>153</v>
      </c>
    </row>
    <row r="30" spans="1:15" ht="55.2" x14ac:dyDescent="0.3">
      <c r="A30" s="85"/>
      <c r="B30" s="14">
        <v>4</v>
      </c>
      <c r="C30" s="14" t="s">
        <v>23</v>
      </c>
      <c r="D30" s="14">
        <v>0</v>
      </c>
      <c r="E30" s="45">
        <f t="shared" si="6"/>
        <v>0</v>
      </c>
      <c r="F30" s="14">
        <v>3</v>
      </c>
      <c r="G30" s="45">
        <f t="shared" si="7"/>
        <v>15</v>
      </c>
      <c r="H30" s="5">
        <v>6</v>
      </c>
      <c r="I30" s="45">
        <f t="shared" si="8"/>
        <v>30</v>
      </c>
      <c r="J30" s="5">
        <v>11</v>
      </c>
      <c r="K30" s="45">
        <f t="shared" si="9"/>
        <v>55.000000000000007</v>
      </c>
      <c r="L30" s="2">
        <f t="shared" si="10"/>
        <v>20</v>
      </c>
      <c r="M30" s="58"/>
      <c r="N30" s="58" t="s">
        <v>153</v>
      </c>
      <c r="O30" s="58"/>
    </row>
    <row r="31" spans="1:15" ht="69" x14ac:dyDescent="0.3">
      <c r="A31" s="84"/>
      <c r="B31" s="1">
        <v>5</v>
      </c>
      <c r="C31" s="1" t="s">
        <v>24</v>
      </c>
      <c r="D31" s="1">
        <v>0</v>
      </c>
      <c r="E31" s="16">
        <f t="shared" si="6"/>
        <v>0</v>
      </c>
      <c r="F31" s="1">
        <v>2</v>
      </c>
      <c r="G31" s="16">
        <f t="shared" si="7"/>
        <v>10</v>
      </c>
      <c r="H31" s="1">
        <v>10</v>
      </c>
      <c r="I31" s="16">
        <f t="shared" si="8"/>
        <v>50</v>
      </c>
      <c r="J31" s="1">
        <v>8</v>
      </c>
      <c r="K31" s="16">
        <f t="shared" si="9"/>
        <v>40</v>
      </c>
      <c r="L31" s="20">
        <f t="shared" si="10"/>
        <v>20</v>
      </c>
      <c r="M31" s="20" t="s">
        <v>153</v>
      </c>
      <c r="N31" s="20" t="s">
        <v>153</v>
      </c>
    </row>
    <row r="32" spans="1:15" ht="28.2" thickBot="1" x14ac:dyDescent="0.35">
      <c r="A32" s="86"/>
      <c r="B32" s="4">
        <v>6</v>
      </c>
      <c r="C32" s="4" t="s">
        <v>25</v>
      </c>
      <c r="D32" s="4">
        <v>0</v>
      </c>
      <c r="E32" s="32">
        <f t="shared" si="6"/>
        <v>0</v>
      </c>
      <c r="F32" s="4">
        <v>1</v>
      </c>
      <c r="G32" s="32">
        <f t="shared" si="7"/>
        <v>5</v>
      </c>
      <c r="H32" s="18">
        <v>9</v>
      </c>
      <c r="I32" s="32">
        <f t="shared" si="8"/>
        <v>45</v>
      </c>
      <c r="J32" s="18">
        <v>10</v>
      </c>
      <c r="K32" s="32">
        <f t="shared" si="9"/>
        <v>50</v>
      </c>
      <c r="L32" s="40">
        <f t="shared" si="10"/>
        <v>20</v>
      </c>
      <c r="M32" s="41"/>
      <c r="N32" s="41" t="s">
        <v>153</v>
      </c>
      <c r="O32" s="41"/>
    </row>
    <row r="33" spans="1:15" ht="14.4" thickBot="1" x14ac:dyDescent="0.35">
      <c r="A33" s="8"/>
      <c r="B33" s="9"/>
      <c r="C33" s="10"/>
      <c r="D33" s="11">
        <f>SUM(D34:D35)/2*0.01</f>
        <v>0</v>
      </c>
      <c r="E33" s="32">
        <f t="shared" si="6"/>
        <v>0</v>
      </c>
      <c r="F33" s="11">
        <f>SUM(F34:F35)/2*0.33</f>
        <v>0.66</v>
      </c>
      <c r="G33" s="32">
        <f t="shared" si="7"/>
        <v>3.3000000000000003</v>
      </c>
      <c r="H33" s="12">
        <f>SUM(H34:H35)/2*0.66</f>
        <v>5.28</v>
      </c>
      <c r="I33" s="32">
        <f t="shared" si="8"/>
        <v>26.400000000000002</v>
      </c>
      <c r="J33" s="12">
        <f>SUM(J34:J35)/2*1</f>
        <v>10</v>
      </c>
      <c r="K33" s="32">
        <f t="shared" si="9"/>
        <v>50</v>
      </c>
      <c r="L33" s="28">
        <f t="shared" si="10"/>
        <v>15.940000000000001</v>
      </c>
    </row>
    <row r="34" spans="1:15" ht="41.4" x14ac:dyDescent="0.3">
      <c r="A34" s="71" t="s">
        <v>26</v>
      </c>
      <c r="B34" s="14">
        <v>1</v>
      </c>
      <c r="C34" s="48" t="s">
        <v>27</v>
      </c>
      <c r="D34" s="14">
        <v>0</v>
      </c>
      <c r="E34" s="45">
        <f t="shared" si="6"/>
        <v>0</v>
      </c>
      <c r="F34" s="14">
        <v>1</v>
      </c>
      <c r="G34" s="45">
        <f t="shared" si="7"/>
        <v>5</v>
      </c>
      <c r="H34" s="5">
        <v>9</v>
      </c>
      <c r="I34" s="45">
        <f t="shared" si="8"/>
        <v>45</v>
      </c>
      <c r="J34" s="5">
        <v>10</v>
      </c>
      <c r="K34" s="45">
        <f t="shared" si="9"/>
        <v>50</v>
      </c>
      <c r="L34" s="46">
        <f t="shared" si="10"/>
        <v>20</v>
      </c>
      <c r="M34" s="47"/>
      <c r="N34" s="47" t="s">
        <v>153</v>
      </c>
      <c r="O34" s="47"/>
    </row>
    <row r="35" spans="1:15" ht="41.4" x14ac:dyDescent="0.3">
      <c r="A35" s="73"/>
      <c r="B35" s="1">
        <v>2</v>
      </c>
      <c r="C35" s="1" t="s">
        <v>28</v>
      </c>
      <c r="D35" s="1">
        <v>0</v>
      </c>
      <c r="E35" s="16">
        <f t="shared" si="6"/>
        <v>0</v>
      </c>
      <c r="F35" s="1">
        <v>3</v>
      </c>
      <c r="G35" s="16">
        <f t="shared" si="7"/>
        <v>15</v>
      </c>
      <c r="H35" s="1">
        <v>7</v>
      </c>
      <c r="I35" s="16">
        <f t="shared" si="8"/>
        <v>35</v>
      </c>
      <c r="J35" s="1">
        <v>10</v>
      </c>
      <c r="K35" s="16">
        <f t="shared" si="9"/>
        <v>50</v>
      </c>
      <c r="L35" s="20">
        <f t="shared" si="10"/>
        <v>20</v>
      </c>
      <c r="M35" s="20" t="s">
        <v>153</v>
      </c>
    </row>
    <row r="36" spans="1:15" ht="55.2" x14ac:dyDescent="0.3">
      <c r="A36" s="73"/>
      <c r="B36" s="1">
        <v>3</v>
      </c>
      <c r="C36" s="1" t="s">
        <v>29</v>
      </c>
      <c r="D36" s="1">
        <v>0</v>
      </c>
      <c r="E36" s="16">
        <f t="shared" si="6"/>
        <v>0</v>
      </c>
      <c r="F36" s="1">
        <v>0</v>
      </c>
      <c r="G36" s="16">
        <f t="shared" si="7"/>
        <v>0</v>
      </c>
      <c r="H36" s="1">
        <v>3</v>
      </c>
      <c r="I36" s="16">
        <f t="shared" si="8"/>
        <v>15</v>
      </c>
      <c r="J36" s="1">
        <v>17</v>
      </c>
      <c r="K36" s="16">
        <f t="shared" si="9"/>
        <v>85</v>
      </c>
      <c r="L36" s="20">
        <f t="shared" si="10"/>
        <v>20</v>
      </c>
      <c r="M36" s="20" t="s">
        <v>153</v>
      </c>
    </row>
    <row r="37" spans="1:15" ht="55.8" thickBot="1" x14ac:dyDescent="0.35">
      <c r="A37" s="72"/>
      <c r="B37" s="4">
        <v>4</v>
      </c>
      <c r="C37" s="4" t="s">
        <v>30</v>
      </c>
      <c r="D37" s="4">
        <v>0</v>
      </c>
      <c r="E37" s="32">
        <f t="shared" si="6"/>
        <v>0</v>
      </c>
      <c r="F37" s="4">
        <v>2</v>
      </c>
      <c r="G37" s="32">
        <f t="shared" si="7"/>
        <v>10</v>
      </c>
      <c r="H37" s="18">
        <v>3</v>
      </c>
      <c r="I37" s="32">
        <f t="shared" si="8"/>
        <v>15</v>
      </c>
      <c r="J37" s="18">
        <v>15</v>
      </c>
      <c r="K37" s="32">
        <f t="shared" si="9"/>
        <v>75</v>
      </c>
      <c r="L37" s="40">
        <f t="shared" si="10"/>
        <v>20</v>
      </c>
      <c r="M37" s="41"/>
      <c r="N37" s="41" t="s">
        <v>153</v>
      </c>
      <c r="O37" s="41"/>
    </row>
    <row r="38" spans="1:15" ht="111" thickBot="1" x14ac:dyDescent="0.35">
      <c r="A38" s="72"/>
      <c r="B38" s="4">
        <v>5</v>
      </c>
      <c r="C38" s="4" t="s">
        <v>31</v>
      </c>
      <c r="D38" s="4">
        <v>0</v>
      </c>
      <c r="E38" s="32">
        <f t="shared" si="6"/>
        <v>0</v>
      </c>
      <c r="F38" s="4">
        <v>1</v>
      </c>
      <c r="G38" s="32">
        <f t="shared" si="7"/>
        <v>5</v>
      </c>
      <c r="H38" s="18">
        <v>5</v>
      </c>
      <c r="I38" s="32">
        <f t="shared" si="8"/>
        <v>25</v>
      </c>
      <c r="J38" s="18">
        <v>14</v>
      </c>
      <c r="K38" s="32">
        <f t="shared" si="9"/>
        <v>70</v>
      </c>
      <c r="L38" s="28">
        <f t="shared" si="10"/>
        <v>20</v>
      </c>
      <c r="N38" s="20" t="s">
        <v>153</v>
      </c>
    </row>
    <row r="39" spans="1:15" ht="69.599999999999994" thickBot="1" x14ac:dyDescent="0.35">
      <c r="A39" s="76"/>
      <c r="B39" s="4">
        <v>6</v>
      </c>
      <c r="C39" s="4" t="s">
        <v>32</v>
      </c>
      <c r="D39" s="4">
        <v>0</v>
      </c>
      <c r="E39" s="32">
        <f t="shared" si="6"/>
        <v>0</v>
      </c>
      <c r="F39" s="4">
        <v>0</v>
      </c>
      <c r="G39" s="32">
        <f t="shared" si="7"/>
        <v>0</v>
      </c>
      <c r="H39" s="18">
        <v>7</v>
      </c>
      <c r="I39" s="32">
        <f t="shared" si="8"/>
        <v>35</v>
      </c>
      <c r="J39" s="18">
        <v>13</v>
      </c>
      <c r="K39" s="32">
        <f t="shared" si="9"/>
        <v>65</v>
      </c>
      <c r="L39" s="28">
        <f t="shared" si="10"/>
        <v>20</v>
      </c>
      <c r="N39" s="20" t="s">
        <v>153</v>
      </c>
    </row>
    <row r="40" spans="1:15" ht="14.4" thickBot="1" x14ac:dyDescent="0.35">
      <c r="A40" s="8"/>
      <c r="B40" s="9"/>
      <c r="C40" s="10"/>
      <c r="D40" s="11">
        <f>SUM(D41:D45)/5*0.01</f>
        <v>6.0000000000000001E-3</v>
      </c>
      <c r="E40" s="32">
        <f t="shared" si="6"/>
        <v>3.0000000000000002E-2</v>
      </c>
      <c r="F40" s="11">
        <f>SUM(F41:F45)/5*0.33</f>
        <v>1.518</v>
      </c>
      <c r="G40" s="32">
        <f t="shared" si="7"/>
        <v>7.59</v>
      </c>
      <c r="H40" s="12">
        <f>SUM(H41:H45)/5*0.66</f>
        <v>4.3559999999999999</v>
      </c>
      <c r="I40" s="32">
        <f t="shared" si="8"/>
        <v>21.78</v>
      </c>
      <c r="J40" s="12">
        <f>SUM(J41:J45)/5*1</f>
        <v>8.1999999999999993</v>
      </c>
      <c r="K40" s="32">
        <f t="shared" si="9"/>
        <v>41</v>
      </c>
      <c r="L40" s="28">
        <f t="shared" si="10"/>
        <v>14.079999999999998</v>
      </c>
    </row>
    <row r="41" spans="1:15" ht="101.4" customHeight="1" thickBot="1" x14ac:dyDescent="0.35">
      <c r="A41" s="71" t="s">
        <v>33</v>
      </c>
      <c r="B41" s="4">
        <v>1</v>
      </c>
      <c r="C41" s="4" t="s">
        <v>34</v>
      </c>
      <c r="D41" s="4">
        <v>0</v>
      </c>
      <c r="E41" s="32">
        <f t="shared" si="6"/>
        <v>0</v>
      </c>
      <c r="F41" s="4">
        <v>3</v>
      </c>
      <c r="G41" s="32">
        <f t="shared" si="7"/>
        <v>15</v>
      </c>
      <c r="H41" s="18">
        <v>7</v>
      </c>
      <c r="I41" s="32">
        <f t="shared" si="8"/>
        <v>35</v>
      </c>
      <c r="J41" s="18">
        <v>10</v>
      </c>
      <c r="K41" s="32">
        <f t="shared" si="9"/>
        <v>50</v>
      </c>
      <c r="L41" s="28">
        <f t="shared" si="10"/>
        <v>20</v>
      </c>
      <c r="N41" s="20" t="s">
        <v>153</v>
      </c>
    </row>
    <row r="42" spans="1:15" ht="55.8" thickBot="1" x14ac:dyDescent="0.35">
      <c r="A42" s="72"/>
      <c r="B42" s="4">
        <v>2</v>
      </c>
      <c r="C42" s="4" t="s">
        <v>35</v>
      </c>
      <c r="D42" s="4">
        <v>2</v>
      </c>
      <c r="E42" s="32">
        <f t="shared" si="6"/>
        <v>10</v>
      </c>
      <c r="F42" s="4">
        <v>7</v>
      </c>
      <c r="G42" s="32">
        <f t="shared" si="7"/>
        <v>35</v>
      </c>
      <c r="H42" s="18">
        <v>5</v>
      </c>
      <c r="I42" s="32">
        <f t="shared" si="8"/>
        <v>25</v>
      </c>
      <c r="J42" s="18">
        <v>6</v>
      </c>
      <c r="K42" s="32">
        <f t="shared" si="9"/>
        <v>30</v>
      </c>
      <c r="L42" s="28">
        <f t="shared" si="10"/>
        <v>20</v>
      </c>
      <c r="N42" s="20" t="s">
        <v>153</v>
      </c>
    </row>
    <row r="43" spans="1:15" ht="55.8" thickBot="1" x14ac:dyDescent="0.35">
      <c r="A43" s="72"/>
      <c r="B43" s="4">
        <v>3</v>
      </c>
      <c r="C43" s="4" t="s">
        <v>36</v>
      </c>
      <c r="D43" s="4">
        <v>0</v>
      </c>
      <c r="E43" s="32">
        <f t="shared" si="6"/>
        <v>0</v>
      </c>
      <c r="F43" s="4">
        <v>7</v>
      </c>
      <c r="G43" s="32">
        <f t="shared" si="7"/>
        <v>35</v>
      </c>
      <c r="H43" s="18">
        <v>4</v>
      </c>
      <c r="I43" s="32">
        <f t="shared" si="8"/>
        <v>20</v>
      </c>
      <c r="J43" s="18">
        <v>9</v>
      </c>
      <c r="K43" s="32">
        <f t="shared" si="9"/>
        <v>45</v>
      </c>
      <c r="L43" s="28">
        <f t="shared" si="10"/>
        <v>20</v>
      </c>
      <c r="N43" s="20" t="s">
        <v>153</v>
      </c>
    </row>
    <row r="44" spans="1:15" ht="69.599999999999994" thickBot="1" x14ac:dyDescent="0.35">
      <c r="A44" s="72"/>
      <c r="B44" s="4">
        <v>4</v>
      </c>
      <c r="C44" s="4" t="s">
        <v>37</v>
      </c>
      <c r="D44" s="4">
        <v>0</v>
      </c>
      <c r="E44" s="32">
        <f t="shared" si="6"/>
        <v>0</v>
      </c>
      <c r="F44" s="4">
        <v>1</v>
      </c>
      <c r="G44" s="32">
        <f t="shared" si="7"/>
        <v>5</v>
      </c>
      <c r="H44" s="18">
        <v>14</v>
      </c>
      <c r="I44" s="32">
        <f t="shared" si="8"/>
        <v>70</v>
      </c>
      <c r="J44" s="18">
        <v>5</v>
      </c>
      <c r="K44" s="32">
        <f t="shared" si="9"/>
        <v>25</v>
      </c>
      <c r="L44" s="28">
        <f t="shared" si="10"/>
        <v>20</v>
      </c>
      <c r="N44" s="20" t="s">
        <v>153</v>
      </c>
    </row>
    <row r="45" spans="1:15" ht="83.4" thickBot="1" x14ac:dyDescent="0.35">
      <c r="A45" s="76"/>
      <c r="B45" s="4">
        <v>5</v>
      </c>
      <c r="C45" s="4" t="s">
        <v>38</v>
      </c>
      <c r="D45" s="4">
        <v>1</v>
      </c>
      <c r="E45" s="32">
        <f t="shared" si="6"/>
        <v>5</v>
      </c>
      <c r="F45" s="4">
        <v>5</v>
      </c>
      <c r="G45" s="32">
        <f t="shared" si="7"/>
        <v>25</v>
      </c>
      <c r="H45" s="18">
        <v>3</v>
      </c>
      <c r="I45" s="32">
        <f t="shared" si="8"/>
        <v>15</v>
      </c>
      <c r="J45" s="18">
        <v>11</v>
      </c>
      <c r="K45" s="32">
        <f t="shared" si="9"/>
        <v>55.000000000000007</v>
      </c>
      <c r="L45" s="28">
        <f t="shared" si="10"/>
        <v>20</v>
      </c>
      <c r="O45" s="20" t="s">
        <v>153</v>
      </c>
    </row>
    <row r="46" spans="1:15" ht="14.4" thickBot="1" x14ac:dyDescent="0.35">
      <c r="A46" s="77" t="s">
        <v>140</v>
      </c>
      <c r="B46" s="78"/>
      <c r="C46" s="79"/>
      <c r="D46" s="3">
        <v>0</v>
      </c>
      <c r="E46" s="32">
        <f t="shared" si="6"/>
        <v>0</v>
      </c>
      <c r="F46" s="3">
        <v>0.33</v>
      </c>
      <c r="G46" s="32">
        <f t="shared" si="7"/>
        <v>1.6500000000000001</v>
      </c>
      <c r="H46" s="19">
        <v>0.66</v>
      </c>
      <c r="I46" s="32">
        <f t="shared" si="8"/>
        <v>3.3000000000000003</v>
      </c>
      <c r="J46" s="19">
        <v>1</v>
      </c>
      <c r="K46" s="32">
        <f t="shared" si="9"/>
        <v>5</v>
      </c>
      <c r="L46" s="28">
        <f t="shared" si="10"/>
        <v>1.99</v>
      </c>
    </row>
    <row r="47" spans="1:15" ht="14.4" thickBot="1" x14ac:dyDescent="0.35">
      <c r="A47" s="8"/>
      <c r="B47" s="9"/>
      <c r="C47" s="10"/>
      <c r="D47" s="11">
        <f>SUM(D48:D49)/2*0.01</f>
        <v>0</v>
      </c>
      <c r="E47" s="32">
        <f t="shared" si="6"/>
        <v>0</v>
      </c>
      <c r="F47" s="11">
        <f>SUM(F48:F49)/2*0.33</f>
        <v>0.99</v>
      </c>
      <c r="G47" s="32">
        <f t="shared" si="7"/>
        <v>4.95</v>
      </c>
      <c r="H47" s="12">
        <f>SUM(H48:H49)/2*0.66</f>
        <v>4.95</v>
      </c>
      <c r="I47" s="32">
        <f t="shared" si="8"/>
        <v>24.75</v>
      </c>
      <c r="J47" s="12">
        <f>SUM(J48:J49)/2*1</f>
        <v>9.5</v>
      </c>
      <c r="K47" s="32">
        <f t="shared" si="9"/>
        <v>47.5</v>
      </c>
      <c r="L47" s="28">
        <f t="shared" si="10"/>
        <v>15.440000000000001</v>
      </c>
    </row>
    <row r="48" spans="1:15" ht="42" thickBot="1" x14ac:dyDescent="0.35">
      <c r="A48" s="71" t="s">
        <v>7</v>
      </c>
      <c r="B48" s="4">
        <v>1</v>
      </c>
      <c r="C48" s="4" t="s">
        <v>39</v>
      </c>
      <c r="D48" s="4">
        <v>0</v>
      </c>
      <c r="E48" s="32">
        <f t="shared" si="6"/>
        <v>0</v>
      </c>
      <c r="F48" s="4">
        <v>3</v>
      </c>
      <c r="G48" s="32">
        <f t="shared" si="7"/>
        <v>15</v>
      </c>
      <c r="H48" s="18">
        <v>15</v>
      </c>
      <c r="I48" s="32">
        <f t="shared" si="8"/>
        <v>75</v>
      </c>
      <c r="J48" s="18">
        <v>2</v>
      </c>
      <c r="K48" s="32">
        <f t="shared" si="9"/>
        <v>10</v>
      </c>
      <c r="L48" s="28">
        <f t="shared" si="10"/>
        <v>20</v>
      </c>
      <c r="N48" s="20" t="s">
        <v>153</v>
      </c>
    </row>
    <row r="49" spans="1:15" ht="69.599999999999994" thickBot="1" x14ac:dyDescent="0.35">
      <c r="A49" s="76"/>
      <c r="B49" s="4">
        <v>2</v>
      </c>
      <c r="C49" s="4" t="s">
        <v>40</v>
      </c>
      <c r="D49" s="4">
        <v>0</v>
      </c>
      <c r="E49" s="32">
        <f t="shared" si="6"/>
        <v>0</v>
      </c>
      <c r="F49" s="4">
        <v>3</v>
      </c>
      <c r="G49" s="32">
        <f t="shared" si="7"/>
        <v>15</v>
      </c>
      <c r="H49" s="18">
        <v>0</v>
      </c>
      <c r="I49" s="32">
        <f t="shared" si="8"/>
        <v>0</v>
      </c>
      <c r="J49" s="18">
        <v>17</v>
      </c>
      <c r="K49" s="32">
        <f t="shared" si="9"/>
        <v>85</v>
      </c>
      <c r="L49" s="28">
        <f t="shared" si="10"/>
        <v>20</v>
      </c>
      <c r="N49" s="20" t="s">
        <v>153</v>
      </c>
    </row>
    <row r="50" spans="1:15" ht="14.4" thickBot="1" x14ac:dyDescent="0.35">
      <c r="A50" s="8"/>
      <c r="B50" s="9"/>
      <c r="C50" s="10"/>
      <c r="D50" s="11">
        <f>SUM(D51:D54)/4*0.01</f>
        <v>2.5000000000000001E-3</v>
      </c>
      <c r="E50" s="32">
        <f t="shared" si="6"/>
        <v>1.2500000000000001E-2</v>
      </c>
      <c r="F50" s="11">
        <f>SUM(F51:F54)/4*0.33</f>
        <v>1.8975000000000002</v>
      </c>
      <c r="G50" s="32">
        <f t="shared" si="7"/>
        <v>9.4875000000000007</v>
      </c>
      <c r="H50" s="12">
        <f>SUM(H51:H54)/4*0.66</f>
        <v>3.96</v>
      </c>
      <c r="I50" s="32">
        <f t="shared" si="8"/>
        <v>19.8</v>
      </c>
      <c r="J50" s="12">
        <f>SUM(J51:J54)/4*1</f>
        <v>8.75</v>
      </c>
      <c r="K50" s="32">
        <f t="shared" si="9"/>
        <v>43.75</v>
      </c>
      <c r="L50" s="28">
        <f t="shared" si="10"/>
        <v>14.61</v>
      </c>
    </row>
    <row r="51" spans="1:15" ht="28.2" thickBot="1" x14ac:dyDescent="0.35">
      <c r="A51" s="71" t="s">
        <v>138</v>
      </c>
      <c r="B51" s="4">
        <v>1</v>
      </c>
      <c r="C51" s="4" t="s">
        <v>41</v>
      </c>
      <c r="D51" s="4">
        <v>0</v>
      </c>
      <c r="E51" s="32">
        <f t="shared" si="6"/>
        <v>0</v>
      </c>
      <c r="F51" s="4">
        <v>2</v>
      </c>
      <c r="G51" s="32">
        <f t="shared" si="7"/>
        <v>10</v>
      </c>
      <c r="H51" s="18">
        <v>2</v>
      </c>
      <c r="I51" s="32">
        <f t="shared" si="8"/>
        <v>10</v>
      </c>
      <c r="J51" s="18">
        <v>16</v>
      </c>
      <c r="K51" s="32">
        <f t="shared" si="9"/>
        <v>80</v>
      </c>
      <c r="L51" s="28">
        <f t="shared" si="10"/>
        <v>20</v>
      </c>
      <c r="N51" s="20" t="s">
        <v>153</v>
      </c>
    </row>
    <row r="52" spans="1:15" ht="28.2" thickBot="1" x14ac:dyDescent="0.35">
      <c r="A52" s="72"/>
      <c r="B52" s="4">
        <v>2</v>
      </c>
      <c r="C52" s="4" t="s">
        <v>42</v>
      </c>
      <c r="D52" s="4">
        <v>0</v>
      </c>
      <c r="E52" s="32">
        <f t="shared" si="6"/>
        <v>0</v>
      </c>
      <c r="F52" s="4">
        <v>5</v>
      </c>
      <c r="G52" s="32">
        <f t="shared" si="7"/>
        <v>25</v>
      </c>
      <c r="H52" s="18">
        <v>3</v>
      </c>
      <c r="I52" s="32">
        <f t="shared" si="8"/>
        <v>15</v>
      </c>
      <c r="J52" s="18">
        <v>15</v>
      </c>
      <c r="K52" s="32">
        <f t="shared" si="9"/>
        <v>75</v>
      </c>
      <c r="L52" s="28">
        <f t="shared" si="10"/>
        <v>23</v>
      </c>
      <c r="N52" s="20" t="s">
        <v>153</v>
      </c>
    </row>
    <row r="53" spans="1:15" ht="55.8" thickBot="1" x14ac:dyDescent="0.35">
      <c r="A53" s="72"/>
      <c r="B53" s="4">
        <v>3</v>
      </c>
      <c r="C53" s="4" t="s">
        <v>43</v>
      </c>
      <c r="D53" s="4">
        <v>1</v>
      </c>
      <c r="E53" s="32">
        <f t="shared" si="6"/>
        <v>5</v>
      </c>
      <c r="F53" s="4">
        <v>6</v>
      </c>
      <c r="G53" s="32">
        <f t="shared" si="7"/>
        <v>30</v>
      </c>
      <c r="H53" s="18">
        <v>12</v>
      </c>
      <c r="I53" s="32">
        <f t="shared" si="8"/>
        <v>60</v>
      </c>
      <c r="J53" s="18">
        <v>1</v>
      </c>
      <c r="K53" s="32">
        <f t="shared" si="9"/>
        <v>5</v>
      </c>
      <c r="L53" s="28">
        <f t="shared" si="10"/>
        <v>20</v>
      </c>
      <c r="N53" s="20" t="s">
        <v>153</v>
      </c>
    </row>
    <row r="54" spans="1:15" ht="55.8" thickBot="1" x14ac:dyDescent="0.35">
      <c r="A54" s="76"/>
      <c r="B54" s="4">
        <v>4</v>
      </c>
      <c r="C54" s="4" t="s">
        <v>44</v>
      </c>
      <c r="D54" s="4">
        <v>0</v>
      </c>
      <c r="E54" s="32">
        <f t="shared" si="6"/>
        <v>0</v>
      </c>
      <c r="F54" s="4">
        <v>10</v>
      </c>
      <c r="G54" s="32">
        <f t="shared" si="7"/>
        <v>50</v>
      </c>
      <c r="H54" s="18">
        <v>7</v>
      </c>
      <c r="I54" s="32">
        <f t="shared" si="8"/>
        <v>35</v>
      </c>
      <c r="J54" s="18">
        <v>3</v>
      </c>
      <c r="K54" s="32">
        <f t="shared" si="9"/>
        <v>15</v>
      </c>
      <c r="L54" s="28">
        <f t="shared" si="10"/>
        <v>20</v>
      </c>
      <c r="N54" s="20" t="s">
        <v>153</v>
      </c>
    </row>
    <row r="55" spans="1:15" ht="14.4" thickBot="1" x14ac:dyDescent="0.35">
      <c r="A55" s="8"/>
      <c r="B55" s="9"/>
      <c r="C55" s="10"/>
      <c r="D55" s="11">
        <f>SUM(D56:D57)/2*0.01</f>
        <v>0</v>
      </c>
      <c r="E55" s="32">
        <f t="shared" si="6"/>
        <v>0</v>
      </c>
      <c r="F55" s="11">
        <f>SUM(F56:F57)/2*0.33</f>
        <v>0.495</v>
      </c>
      <c r="G55" s="32">
        <f t="shared" si="7"/>
        <v>2.4750000000000001</v>
      </c>
      <c r="H55" s="12">
        <f>SUM(H56:H57)/2*0.66</f>
        <v>5.61</v>
      </c>
      <c r="I55" s="32">
        <f t="shared" si="8"/>
        <v>28.050000000000004</v>
      </c>
      <c r="J55" s="12">
        <f>SUM(J56:J57)/2*1</f>
        <v>10</v>
      </c>
      <c r="K55" s="32">
        <f t="shared" si="9"/>
        <v>50</v>
      </c>
      <c r="L55" s="28">
        <f t="shared" si="10"/>
        <v>16.105</v>
      </c>
    </row>
    <row r="56" spans="1:15" ht="69.599999999999994" thickBot="1" x14ac:dyDescent="0.35">
      <c r="A56" s="71" t="s">
        <v>15</v>
      </c>
      <c r="B56" s="4">
        <v>1</v>
      </c>
      <c r="C56" s="4" t="s">
        <v>45</v>
      </c>
      <c r="D56" s="4">
        <v>0</v>
      </c>
      <c r="E56" s="32">
        <f t="shared" si="6"/>
        <v>0</v>
      </c>
      <c r="F56" s="4">
        <v>3</v>
      </c>
      <c r="G56" s="32">
        <f t="shared" si="7"/>
        <v>15</v>
      </c>
      <c r="H56" s="18">
        <v>12</v>
      </c>
      <c r="I56" s="32">
        <f t="shared" si="8"/>
        <v>60</v>
      </c>
      <c r="J56" s="18">
        <v>5</v>
      </c>
      <c r="K56" s="32">
        <f t="shared" si="9"/>
        <v>25</v>
      </c>
      <c r="L56" s="28">
        <f t="shared" si="10"/>
        <v>20</v>
      </c>
      <c r="N56" s="20" t="s">
        <v>153</v>
      </c>
    </row>
    <row r="57" spans="1:15" ht="55.8" thickBot="1" x14ac:dyDescent="0.35">
      <c r="A57" s="76"/>
      <c r="B57" s="4">
        <v>2</v>
      </c>
      <c r="C57" s="4" t="s">
        <v>46</v>
      </c>
      <c r="D57" s="4">
        <v>0</v>
      </c>
      <c r="E57" s="32">
        <f t="shared" si="6"/>
        <v>0</v>
      </c>
      <c r="F57" s="4">
        <v>0</v>
      </c>
      <c r="G57" s="32">
        <f t="shared" si="7"/>
        <v>0</v>
      </c>
      <c r="H57" s="18">
        <v>5</v>
      </c>
      <c r="I57" s="32">
        <f t="shared" si="8"/>
        <v>25</v>
      </c>
      <c r="J57" s="18">
        <v>15</v>
      </c>
      <c r="K57" s="32">
        <f t="shared" si="9"/>
        <v>75</v>
      </c>
      <c r="L57" s="28">
        <f t="shared" si="10"/>
        <v>20</v>
      </c>
      <c r="N57" s="20" t="s">
        <v>153</v>
      </c>
    </row>
    <row r="58" spans="1:15" ht="14.4" thickBot="1" x14ac:dyDescent="0.35">
      <c r="A58" s="8"/>
      <c r="B58" s="9"/>
      <c r="C58" s="10"/>
      <c r="D58" s="11">
        <f>SUM(D59:D62)/4*0.01</f>
        <v>0</v>
      </c>
      <c r="E58" s="32">
        <f t="shared" si="6"/>
        <v>0</v>
      </c>
      <c r="F58" s="11">
        <f>SUM(F59:F62)/4*0.33</f>
        <v>0.90750000000000008</v>
      </c>
      <c r="G58" s="32">
        <f t="shared" si="7"/>
        <v>4.5375000000000005</v>
      </c>
      <c r="H58" s="12">
        <f>SUM(H59:H62)/4*0.66</f>
        <v>2.97</v>
      </c>
      <c r="I58" s="32">
        <f t="shared" si="8"/>
        <v>14.850000000000001</v>
      </c>
      <c r="J58" s="12">
        <f>SUM(J59:J62)/4*1</f>
        <v>12.75</v>
      </c>
      <c r="K58" s="32">
        <f t="shared" si="9"/>
        <v>63.749999999999993</v>
      </c>
      <c r="L58" s="28">
        <f t="shared" si="10"/>
        <v>16.627500000000001</v>
      </c>
    </row>
    <row r="59" spans="1:15" ht="96.6" x14ac:dyDescent="0.3">
      <c r="A59" s="83" t="s">
        <v>139</v>
      </c>
      <c r="B59" s="14">
        <v>1</v>
      </c>
      <c r="C59" s="14" t="s">
        <v>47</v>
      </c>
      <c r="D59" s="14">
        <v>0</v>
      </c>
      <c r="E59" s="45">
        <f t="shared" si="6"/>
        <v>0</v>
      </c>
      <c r="F59" s="14">
        <v>1</v>
      </c>
      <c r="G59" s="45">
        <f t="shared" si="7"/>
        <v>5</v>
      </c>
      <c r="H59" s="5">
        <v>2</v>
      </c>
      <c r="I59" s="45">
        <f t="shared" si="8"/>
        <v>10</v>
      </c>
      <c r="J59" s="5">
        <v>17</v>
      </c>
      <c r="K59" s="45">
        <f t="shared" si="9"/>
        <v>85</v>
      </c>
      <c r="L59" s="46">
        <f t="shared" si="10"/>
        <v>20</v>
      </c>
      <c r="M59" s="47"/>
      <c r="N59" s="47" t="s">
        <v>153</v>
      </c>
      <c r="O59" s="47"/>
    </row>
    <row r="60" spans="1:15" ht="27.6" x14ac:dyDescent="0.3">
      <c r="A60" s="84"/>
      <c r="B60" s="1">
        <v>2</v>
      </c>
      <c r="C60" s="1" t="s">
        <v>48</v>
      </c>
      <c r="D60" s="1">
        <v>0</v>
      </c>
      <c r="E60" s="16">
        <f t="shared" si="6"/>
        <v>0</v>
      </c>
      <c r="F60" s="1">
        <v>5</v>
      </c>
      <c r="G60" s="16">
        <f t="shared" si="7"/>
        <v>25</v>
      </c>
      <c r="H60" s="1">
        <v>7</v>
      </c>
      <c r="I60" s="16">
        <f t="shared" si="8"/>
        <v>35</v>
      </c>
      <c r="J60" s="1">
        <v>8</v>
      </c>
      <c r="K60" s="16">
        <f t="shared" si="9"/>
        <v>40</v>
      </c>
      <c r="L60" s="20">
        <f t="shared" si="10"/>
        <v>20</v>
      </c>
      <c r="M60" s="20" t="s">
        <v>153</v>
      </c>
    </row>
    <row r="61" spans="1:15" ht="42" thickBot="1" x14ac:dyDescent="0.35">
      <c r="A61" s="85"/>
      <c r="B61" s="4">
        <v>3</v>
      </c>
      <c r="C61" s="4" t="s">
        <v>49</v>
      </c>
      <c r="D61" s="4">
        <v>0</v>
      </c>
      <c r="E61" s="32">
        <f t="shared" si="6"/>
        <v>0</v>
      </c>
      <c r="F61" s="4">
        <v>3</v>
      </c>
      <c r="G61" s="32">
        <f t="shared" si="7"/>
        <v>15</v>
      </c>
      <c r="H61" s="18">
        <v>6</v>
      </c>
      <c r="I61" s="32">
        <f t="shared" si="8"/>
        <v>30</v>
      </c>
      <c r="J61" s="18">
        <v>11</v>
      </c>
      <c r="K61" s="32">
        <f t="shared" si="9"/>
        <v>55.000000000000007</v>
      </c>
      <c r="L61" s="40">
        <f t="shared" si="10"/>
        <v>20</v>
      </c>
      <c r="M61" s="41"/>
      <c r="N61" s="41" t="s">
        <v>153</v>
      </c>
      <c r="O61" s="41"/>
    </row>
    <row r="62" spans="1:15" ht="69.599999999999994" thickBot="1" x14ac:dyDescent="0.35">
      <c r="A62" s="86"/>
      <c r="B62" s="4">
        <v>4</v>
      </c>
      <c r="C62" s="4" t="s">
        <v>50</v>
      </c>
      <c r="D62" s="4">
        <v>0</v>
      </c>
      <c r="E62" s="32">
        <f t="shared" si="6"/>
        <v>0</v>
      </c>
      <c r="F62" s="4">
        <v>2</v>
      </c>
      <c r="G62" s="32">
        <f t="shared" si="7"/>
        <v>10</v>
      </c>
      <c r="H62" s="18">
        <v>3</v>
      </c>
      <c r="I62" s="32">
        <f t="shared" si="8"/>
        <v>15</v>
      </c>
      <c r="J62" s="18">
        <v>15</v>
      </c>
      <c r="K62" s="32">
        <f t="shared" si="9"/>
        <v>75</v>
      </c>
      <c r="L62" s="28">
        <f t="shared" si="10"/>
        <v>20</v>
      </c>
      <c r="N62" s="20" t="s">
        <v>153</v>
      </c>
    </row>
    <row r="63" spans="1:15" ht="14.4" thickBot="1" x14ac:dyDescent="0.35">
      <c r="A63" s="8"/>
      <c r="B63" s="9"/>
      <c r="C63" s="10"/>
      <c r="D63" s="11">
        <f>SUM(D64:D72)/9*0.01</f>
        <v>1.1111111111111111E-3</v>
      </c>
      <c r="E63" s="32">
        <f t="shared" si="6"/>
        <v>5.5555555555555558E-3</v>
      </c>
      <c r="F63" s="11">
        <f>SUM(F64:F72)/9*0.33</f>
        <v>0.88</v>
      </c>
      <c r="G63" s="32">
        <f t="shared" si="7"/>
        <v>4.3999999999999995</v>
      </c>
      <c r="H63" s="12">
        <f>SUM(H64:H72)/9*0.66</f>
        <v>3.3000000000000003</v>
      </c>
      <c r="I63" s="32">
        <f t="shared" si="8"/>
        <v>16.5</v>
      </c>
      <c r="J63" s="12">
        <f>SUM(J64:J72)/9*1</f>
        <v>12.222222222222221</v>
      </c>
      <c r="K63" s="32">
        <f t="shared" si="9"/>
        <v>61.111111111111107</v>
      </c>
      <c r="L63" s="28">
        <f t="shared" si="10"/>
        <v>16.403333333333332</v>
      </c>
    </row>
    <row r="64" spans="1:15" ht="69.599999999999994" thickBot="1" x14ac:dyDescent="0.35">
      <c r="A64" s="71" t="s">
        <v>26</v>
      </c>
      <c r="B64" s="4">
        <v>1</v>
      </c>
      <c r="C64" s="4" t="s">
        <v>51</v>
      </c>
      <c r="D64" s="4">
        <v>0</v>
      </c>
      <c r="E64" s="32">
        <f t="shared" si="6"/>
        <v>0</v>
      </c>
      <c r="F64" s="4">
        <v>4</v>
      </c>
      <c r="G64" s="32">
        <f t="shared" si="7"/>
        <v>20</v>
      </c>
      <c r="H64" s="18">
        <v>4</v>
      </c>
      <c r="I64" s="32">
        <f t="shared" si="8"/>
        <v>20</v>
      </c>
      <c r="J64" s="18">
        <v>12</v>
      </c>
      <c r="K64" s="32">
        <f t="shared" si="9"/>
        <v>60</v>
      </c>
      <c r="L64" s="28">
        <f t="shared" si="10"/>
        <v>20</v>
      </c>
      <c r="N64" s="20" t="s">
        <v>153</v>
      </c>
    </row>
    <row r="65" spans="1:15" ht="55.8" thickBot="1" x14ac:dyDescent="0.35">
      <c r="A65" s="72"/>
      <c r="B65" s="4">
        <v>2</v>
      </c>
      <c r="C65" s="4" t="s">
        <v>52</v>
      </c>
      <c r="D65" s="4">
        <v>1</v>
      </c>
      <c r="E65" s="32">
        <f t="shared" si="6"/>
        <v>5</v>
      </c>
      <c r="F65" s="4">
        <v>3</v>
      </c>
      <c r="G65" s="32">
        <f t="shared" si="7"/>
        <v>15</v>
      </c>
      <c r="H65" s="18">
        <v>2</v>
      </c>
      <c r="I65" s="32">
        <f t="shared" si="8"/>
        <v>10</v>
      </c>
      <c r="J65" s="18">
        <v>14</v>
      </c>
      <c r="K65" s="32">
        <f t="shared" si="9"/>
        <v>70</v>
      </c>
      <c r="L65" s="28">
        <f t="shared" si="10"/>
        <v>20</v>
      </c>
      <c r="N65" s="20" t="s">
        <v>153</v>
      </c>
    </row>
    <row r="66" spans="1:15" ht="55.8" thickBot="1" x14ac:dyDescent="0.35">
      <c r="A66" s="72"/>
      <c r="B66" s="4">
        <v>3</v>
      </c>
      <c r="C66" s="4" t="s">
        <v>53</v>
      </c>
      <c r="D66" s="4">
        <v>0</v>
      </c>
      <c r="E66" s="32">
        <f t="shared" si="6"/>
        <v>0</v>
      </c>
      <c r="F66" s="4">
        <v>1</v>
      </c>
      <c r="G66" s="32">
        <f t="shared" si="7"/>
        <v>5</v>
      </c>
      <c r="H66" s="18">
        <v>0</v>
      </c>
      <c r="I66" s="32">
        <f t="shared" si="8"/>
        <v>0</v>
      </c>
      <c r="J66" s="18">
        <v>19</v>
      </c>
      <c r="K66" s="32">
        <f t="shared" si="9"/>
        <v>95</v>
      </c>
      <c r="L66" s="28">
        <f t="shared" si="10"/>
        <v>20</v>
      </c>
      <c r="N66" s="20" t="s">
        <v>153</v>
      </c>
    </row>
    <row r="67" spans="1:15" ht="28.2" thickBot="1" x14ac:dyDescent="0.35">
      <c r="A67" s="72"/>
      <c r="B67" s="4">
        <v>4</v>
      </c>
      <c r="C67" s="4" t="s">
        <v>54</v>
      </c>
      <c r="D67" s="4">
        <v>0</v>
      </c>
      <c r="E67" s="32">
        <f t="shared" si="6"/>
        <v>0</v>
      </c>
      <c r="F67" s="4">
        <v>2</v>
      </c>
      <c r="G67" s="32">
        <f t="shared" si="7"/>
        <v>10</v>
      </c>
      <c r="H67" s="18">
        <v>1</v>
      </c>
      <c r="I67" s="32">
        <f t="shared" si="8"/>
        <v>5</v>
      </c>
      <c r="J67" s="18">
        <v>17</v>
      </c>
      <c r="K67" s="32">
        <f t="shared" si="9"/>
        <v>85</v>
      </c>
      <c r="L67" s="28">
        <f t="shared" si="10"/>
        <v>20</v>
      </c>
      <c r="N67" s="20" t="s">
        <v>153</v>
      </c>
    </row>
    <row r="68" spans="1:15" ht="70.2" customHeight="1" thickBot="1" x14ac:dyDescent="0.35">
      <c r="A68" s="72"/>
      <c r="B68" s="4">
        <v>5</v>
      </c>
      <c r="C68" s="4" t="s">
        <v>55</v>
      </c>
      <c r="D68" s="4">
        <v>0</v>
      </c>
      <c r="E68" s="32">
        <f t="shared" si="6"/>
        <v>0</v>
      </c>
      <c r="F68" s="4">
        <v>3</v>
      </c>
      <c r="G68" s="32">
        <f t="shared" si="7"/>
        <v>15</v>
      </c>
      <c r="H68" s="18">
        <v>12</v>
      </c>
      <c r="I68" s="32">
        <f t="shared" si="8"/>
        <v>60</v>
      </c>
      <c r="J68" s="18">
        <v>5</v>
      </c>
      <c r="K68" s="32">
        <f t="shared" si="9"/>
        <v>25</v>
      </c>
      <c r="L68" s="28">
        <f t="shared" si="10"/>
        <v>20</v>
      </c>
      <c r="N68" s="20" t="s">
        <v>153</v>
      </c>
    </row>
    <row r="69" spans="1:15" ht="192" customHeight="1" thickBot="1" x14ac:dyDescent="0.35">
      <c r="A69" s="72"/>
      <c r="B69" s="4">
        <v>6</v>
      </c>
      <c r="C69" s="4" t="s">
        <v>56</v>
      </c>
      <c r="D69" s="4">
        <v>0</v>
      </c>
      <c r="E69" s="32">
        <f t="shared" si="6"/>
        <v>0</v>
      </c>
      <c r="F69" s="4">
        <v>2</v>
      </c>
      <c r="G69" s="32">
        <f t="shared" si="7"/>
        <v>10</v>
      </c>
      <c r="H69" s="18">
        <v>5</v>
      </c>
      <c r="I69" s="32">
        <f t="shared" si="8"/>
        <v>25</v>
      </c>
      <c r="J69" s="18">
        <v>13</v>
      </c>
      <c r="K69" s="32">
        <f t="shared" si="9"/>
        <v>65</v>
      </c>
      <c r="L69" s="28">
        <f t="shared" si="10"/>
        <v>20</v>
      </c>
      <c r="N69" s="20" t="s">
        <v>153</v>
      </c>
    </row>
    <row r="70" spans="1:15" ht="96.6" x14ac:dyDescent="0.3">
      <c r="A70" s="72"/>
      <c r="B70" s="14">
        <v>7</v>
      </c>
      <c r="C70" s="14" t="s">
        <v>57</v>
      </c>
      <c r="D70" s="14">
        <v>0</v>
      </c>
      <c r="E70" s="45">
        <f t="shared" si="6"/>
        <v>0</v>
      </c>
      <c r="F70" s="14">
        <v>0</v>
      </c>
      <c r="G70" s="45">
        <f t="shared" si="7"/>
        <v>0</v>
      </c>
      <c r="H70" s="5">
        <v>6</v>
      </c>
      <c r="I70" s="45">
        <f t="shared" si="8"/>
        <v>30</v>
      </c>
      <c r="J70" s="5">
        <v>14</v>
      </c>
      <c r="K70" s="45">
        <f t="shared" si="9"/>
        <v>70</v>
      </c>
      <c r="L70" s="46">
        <f t="shared" si="10"/>
        <v>20</v>
      </c>
      <c r="M70" s="47"/>
      <c r="N70" s="47" t="s">
        <v>153</v>
      </c>
      <c r="O70" s="47"/>
    </row>
    <row r="71" spans="1:15" ht="41.4" x14ac:dyDescent="0.3">
      <c r="A71" s="73"/>
      <c r="B71" s="1">
        <v>8</v>
      </c>
      <c r="C71" s="1" t="s">
        <v>58</v>
      </c>
      <c r="D71" s="1">
        <v>0</v>
      </c>
      <c r="E71" s="16">
        <f t="shared" si="6"/>
        <v>0</v>
      </c>
      <c r="F71" s="1">
        <v>5</v>
      </c>
      <c r="G71" s="16">
        <f t="shared" si="7"/>
        <v>25</v>
      </c>
      <c r="H71" s="1">
        <v>12</v>
      </c>
      <c r="I71" s="16">
        <f t="shared" si="8"/>
        <v>60</v>
      </c>
      <c r="J71" s="1">
        <v>3</v>
      </c>
      <c r="K71" s="16">
        <f t="shared" si="9"/>
        <v>15</v>
      </c>
      <c r="L71" s="20">
        <f t="shared" si="10"/>
        <v>20</v>
      </c>
      <c r="M71" s="20" t="s">
        <v>153</v>
      </c>
      <c r="N71" s="20" t="s">
        <v>153</v>
      </c>
    </row>
    <row r="72" spans="1:15" ht="55.8" thickBot="1" x14ac:dyDescent="0.35">
      <c r="A72" s="76"/>
      <c r="B72" s="4">
        <v>9</v>
      </c>
      <c r="C72" s="4" t="s">
        <v>59</v>
      </c>
      <c r="D72" s="4">
        <v>0</v>
      </c>
      <c r="E72" s="32">
        <f t="shared" si="6"/>
        <v>0</v>
      </c>
      <c r="F72" s="4">
        <v>4</v>
      </c>
      <c r="G72" s="32">
        <f t="shared" si="7"/>
        <v>20</v>
      </c>
      <c r="H72" s="18">
        <v>3</v>
      </c>
      <c r="I72" s="32">
        <f t="shared" si="8"/>
        <v>15</v>
      </c>
      <c r="J72" s="18">
        <v>13</v>
      </c>
      <c r="K72" s="32">
        <f t="shared" si="9"/>
        <v>65</v>
      </c>
      <c r="L72" s="40">
        <f t="shared" si="10"/>
        <v>20</v>
      </c>
      <c r="M72" s="41"/>
      <c r="N72" s="41" t="s">
        <v>153</v>
      </c>
      <c r="O72" s="41"/>
    </row>
    <row r="73" spans="1:15" ht="14.4" thickBot="1" x14ac:dyDescent="0.35">
      <c r="A73" s="8"/>
      <c r="B73" s="9"/>
      <c r="C73" s="10"/>
      <c r="D73" s="11">
        <f>SUM(D74:D78)/5*0.01</f>
        <v>0</v>
      </c>
      <c r="E73" s="32">
        <f t="shared" si="6"/>
        <v>0</v>
      </c>
      <c r="F73" s="11">
        <f>SUM(F74:F78)/5*0.33</f>
        <v>1.5840000000000001</v>
      </c>
      <c r="G73" s="32">
        <f t="shared" si="7"/>
        <v>7.9200000000000008</v>
      </c>
      <c r="H73" s="12">
        <f>SUM(H74:H78)/5*0.66</f>
        <v>2.9040000000000004</v>
      </c>
      <c r="I73" s="32">
        <f t="shared" si="8"/>
        <v>14.520000000000003</v>
      </c>
      <c r="J73" s="12">
        <f>SUM(J74:J78)/5*1</f>
        <v>10.8</v>
      </c>
      <c r="K73" s="32">
        <f t="shared" si="9"/>
        <v>54</v>
      </c>
      <c r="L73" s="28">
        <f t="shared" si="10"/>
        <v>15.288</v>
      </c>
    </row>
    <row r="74" spans="1:15" ht="42" thickBot="1" x14ac:dyDescent="0.35">
      <c r="A74" s="71" t="s">
        <v>33</v>
      </c>
      <c r="B74" s="4">
        <v>1</v>
      </c>
      <c r="C74" s="4" t="s">
        <v>60</v>
      </c>
      <c r="D74" s="4">
        <v>0</v>
      </c>
      <c r="E74" s="32">
        <f t="shared" si="6"/>
        <v>0</v>
      </c>
      <c r="F74" s="4">
        <v>3</v>
      </c>
      <c r="G74" s="32">
        <f t="shared" si="7"/>
        <v>15</v>
      </c>
      <c r="H74" s="18">
        <v>12</v>
      </c>
      <c r="I74" s="32">
        <f t="shared" si="8"/>
        <v>60</v>
      </c>
      <c r="J74" s="18">
        <v>5</v>
      </c>
      <c r="K74" s="32">
        <f t="shared" si="9"/>
        <v>25</v>
      </c>
      <c r="L74" s="28">
        <f t="shared" si="10"/>
        <v>20</v>
      </c>
      <c r="N74" s="20" t="s">
        <v>153</v>
      </c>
    </row>
    <row r="75" spans="1:15" ht="28.2" thickBot="1" x14ac:dyDescent="0.35">
      <c r="A75" s="72"/>
      <c r="B75" s="4">
        <v>2</v>
      </c>
      <c r="C75" s="4" t="s">
        <v>61</v>
      </c>
      <c r="D75" s="4">
        <v>0</v>
      </c>
      <c r="E75" s="32">
        <f t="shared" si="6"/>
        <v>0</v>
      </c>
      <c r="F75" s="4">
        <v>6</v>
      </c>
      <c r="G75" s="32">
        <f t="shared" si="7"/>
        <v>30</v>
      </c>
      <c r="H75" s="18">
        <v>3</v>
      </c>
      <c r="I75" s="32">
        <f t="shared" si="8"/>
        <v>15</v>
      </c>
      <c r="J75" s="18">
        <v>11</v>
      </c>
      <c r="K75" s="32">
        <f t="shared" si="9"/>
        <v>55.000000000000007</v>
      </c>
      <c r="L75" s="28">
        <f t="shared" si="10"/>
        <v>20</v>
      </c>
      <c r="N75" s="20" t="s">
        <v>153</v>
      </c>
    </row>
    <row r="76" spans="1:15" ht="42" thickBot="1" x14ac:dyDescent="0.35">
      <c r="A76" s="72"/>
      <c r="B76" s="4">
        <v>3</v>
      </c>
      <c r="C76" s="4" t="s">
        <v>62</v>
      </c>
      <c r="D76" s="4">
        <v>0</v>
      </c>
      <c r="E76" s="32">
        <f t="shared" si="6"/>
        <v>0</v>
      </c>
      <c r="F76" s="4">
        <v>4</v>
      </c>
      <c r="G76" s="32">
        <f t="shared" si="7"/>
        <v>20</v>
      </c>
      <c r="H76" s="18">
        <v>4</v>
      </c>
      <c r="I76" s="32">
        <f t="shared" si="8"/>
        <v>20</v>
      </c>
      <c r="J76" s="18">
        <v>12</v>
      </c>
      <c r="K76" s="32">
        <f t="shared" si="9"/>
        <v>60</v>
      </c>
      <c r="L76" s="28">
        <f t="shared" si="10"/>
        <v>20</v>
      </c>
      <c r="O76" s="20" t="s">
        <v>153</v>
      </c>
    </row>
    <row r="77" spans="1:15" ht="55.8" thickBot="1" x14ac:dyDescent="0.35">
      <c r="A77" s="72"/>
      <c r="B77" s="4">
        <v>4</v>
      </c>
      <c r="C77" s="4" t="s">
        <v>63</v>
      </c>
      <c r="D77" s="4">
        <v>0</v>
      </c>
      <c r="E77" s="32">
        <f t="shared" si="6"/>
        <v>0</v>
      </c>
      <c r="F77" s="4">
        <v>5</v>
      </c>
      <c r="G77" s="32">
        <f t="shared" si="7"/>
        <v>25</v>
      </c>
      <c r="H77" s="18">
        <v>2</v>
      </c>
      <c r="I77" s="32">
        <f t="shared" si="8"/>
        <v>10</v>
      </c>
      <c r="J77" s="18">
        <v>13</v>
      </c>
      <c r="K77" s="32">
        <f t="shared" si="9"/>
        <v>65</v>
      </c>
      <c r="L77" s="28">
        <f t="shared" si="10"/>
        <v>20</v>
      </c>
      <c r="N77" s="20" t="s">
        <v>153</v>
      </c>
    </row>
    <row r="78" spans="1:15" ht="83.4" thickBot="1" x14ac:dyDescent="0.35">
      <c r="A78" s="76"/>
      <c r="B78" s="4">
        <v>5</v>
      </c>
      <c r="C78" s="4" t="s">
        <v>64</v>
      </c>
      <c r="D78" s="4">
        <v>0</v>
      </c>
      <c r="E78" s="32">
        <f t="shared" ref="E78:E82" si="11">(D78/20)*100</f>
        <v>0</v>
      </c>
      <c r="F78" s="4">
        <v>6</v>
      </c>
      <c r="G78" s="32">
        <f t="shared" ref="G78:G82" si="12">(F78/20)*100</f>
        <v>30</v>
      </c>
      <c r="H78" s="18">
        <v>1</v>
      </c>
      <c r="I78" s="32">
        <f t="shared" ref="I78:I82" si="13">(H78/20)*100</f>
        <v>5</v>
      </c>
      <c r="J78" s="18">
        <v>13</v>
      </c>
      <c r="K78" s="32">
        <f t="shared" ref="K78:K82" si="14">(J78/20)*100</f>
        <v>65</v>
      </c>
      <c r="L78" s="28">
        <f t="shared" ref="L78:L122" si="15">D78+F78+H78+J78</f>
        <v>20</v>
      </c>
      <c r="N78" s="20" t="s">
        <v>153</v>
      </c>
    </row>
    <row r="79" spans="1:15" ht="14.4" thickBot="1" x14ac:dyDescent="0.35">
      <c r="A79" s="77" t="s">
        <v>65</v>
      </c>
      <c r="B79" s="78"/>
      <c r="C79" s="79"/>
      <c r="D79" s="3">
        <v>0</v>
      </c>
      <c r="E79" s="32">
        <f t="shared" si="11"/>
        <v>0</v>
      </c>
      <c r="F79" s="3">
        <v>0.33</v>
      </c>
      <c r="G79" s="32">
        <f t="shared" si="12"/>
        <v>1.6500000000000001</v>
      </c>
      <c r="H79" s="19">
        <v>0.66</v>
      </c>
      <c r="I79" s="32">
        <f t="shared" si="13"/>
        <v>3.3000000000000003</v>
      </c>
      <c r="J79" s="19">
        <v>1</v>
      </c>
      <c r="K79" s="32">
        <f t="shared" si="14"/>
        <v>5</v>
      </c>
      <c r="L79" s="28">
        <f t="shared" si="15"/>
        <v>1.99</v>
      </c>
    </row>
    <row r="80" spans="1:15" ht="14.4" thickBot="1" x14ac:dyDescent="0.35">
      <c r="A80" s="8"/>
      <c r="B80" s="9"/>
      <c r="C80" s="10"/>
      <c r="D80" s="11">
        <f>SUM(D81)*0.01</f>
        <v>0</v>
      </c>
      <c r="E80" s="32">
        <f t="shared" si="11"/>
        <v>0</v>
      </c>
      <c r="F80" s="11">
        <f>SUM(F81)*0.33</f>
        <v>1.32</v>
      </c>
      <c r="G80" s="32">
        <f t="shared" si="12"/>
        <v>6.6000000000000005</v>
      </c>
      <c r="H80" s="12">
        <f>SUM(H81)*0.66</f>
        <v>1.98</v>
      </c>
      <c r="I80" s="32">
        <f t="shared" si="13"/>
        <v>9.9</v>
      </c>
      <c r="J80" s="12">
        <f>SUM(J81)*1</f>
        <v>13</v>
      </c>
      <c r="K80" s="32">
        <f t="shared" si="14"/>
        <v>65</v>
      </c>
      <c r="L80" s="28">
        <f t="shared" si="15"/>
        <v>16.3</v>
      </c>
    </row>
    <row r="81" spans="1:15" ht="51.6" customHeight="1" thickBot="1" x14ac:dyDescent="0.35">
      <c r="A81" s="6" t="s">
        <v>7</v>
      </c>
      <c r="B81" s="7">
        <v>1</v>
      </c>
      <c r="C81" s="7" t="s">
        <v>66</v>
      </c>
      <c r="D81" s="4">
        <v>0</v>
      </c>
      <c r="E81" s="32">
        <f t="shared" si="11"/>
        <v>0</v>
      </c>
      <c r="F81" s="14">
        <v>4</v>
      </c>
      <c r="G81" s="32">
        <f t="shared" si="12"/>
        <v>20</v>
      </c>
      <c r="H81" s="5">
        <v>3</v>
      </c>
      <c r="I81" s="32">
        <f t="shared" si="13"/>
        <v>15</v>
      </c>
      <c r="J81" s="5">
        <v>13</v>
      </c>
      <c r="K81" s="32">
        <f t="shared" si="14"/>
        <v>65</v>
      </c>
      <c r="L81" s="28">
        <f t="shared" si="15"/>
        <v>20</v>
      </c>
      <c r="N81" s="20" t="s">
        <v>153</v>
      </c>
    </row>
    <row r="82" spans="1:15" x14ac:dyDescent="0.3">
      <c r="A82" s="8"/>
      <c r="B82" s="49"/>
      <c r="C82" s="50"/>
      <c r="D82" s="51">
        <f>SUM(D83:D88)/6*0.01</f>
        <v>2.6666666666666665E-2</v>
      </c>
      <c r="E82" s="45">
        <f t="shared" si="11"/>
        <v>0.13333333333333333</v>
      </c>
      <c r="F82" s="51">
        <f>SUM(F83:F88)/6*0.33</f>
        <v>2.145</v>
      </c>
      <c r="G82" s="45">
        <f t="shared" si="12"/>
        <v>10.725</v>
      </c>
      <c r="H82" s="52">
        <f>SUM(H83:H88)/6*0.66</f>
        <v>2.64</v>
      </c>
      <c r="I82" s="45">
        <f t="shared" si="13"/>
        <v>13.200000000000001</v>
      </c>
      <c r="J82" s="52">
        <f>SUM(J83:J88)/6*1</f>
        <v>6.833333333333333</v>
      </c>
      <c r="K82" s="45">
        <f t="shared" si="14"/>
        <v>34.166666666666664</v>
      </c>
      <c r="L82" s="46">
        <f t="shared" si="15"/>
        <v>11.645</v>
      </c>
      <c r="M82" s="47"/>
      <c r="N82" s="47"/>
      <c r="O82" s="47"/>
    </row>
    <row r="83" spans="1:15" ht="41.4" x14ac:dyDescent="0.3">
      <c r="A83" s="73" t="s">
        <v>138</v>
      </c>
      <c r="B83" s="1">
        <v>1</v>
      </c>
      <c r="C83" s="1" t="s">
        <v>67</v>
      </c>
      <c r="D83" s="1">
        <v>0</v>
      </c>
      <c r="E83" s="16">
        <f>(D83/20)*100</f>
        <v>0</v>
      </c>
      <c r="F83" s="1">
        <v>2</v>
      </c>
      <c r="G83" s="16">
        <f>(F83/20)*100</f>
        <v>10</v>
      </c>
      <c r="H83" s="1">
        <v>4</v>
      </c>
      <c r="I83" s="16">
        <f>(H83/20)*100</f>
        <v>20</v>
      </c>
      <c r="J83" s="1">
        <v>14</v>
      </c>
      <c r="K83" s="16">
        <f>(J83/20)*100</f>
        <v>70</v>
      </c>
      <c r="L83" s="20">
        <f t="shared" si="15"/>
        <v>20</v>
      </c>
      <c r="M83" s="20" t="s">
        <v>153</v>
      </c>
    </row>
    <row r="84" spans="1:15" ht="42" thickBot="1" x14ac:dyDescent="0.35">
      <c r="A84" s="72"/>
      <c r="B84" s="4">
        <v>2</v>
      </c>
      <c r="C84" s="4" t="s">
        <v>68</v>
      </c>
      <c r="D84" s="4">
        <v>0</v>
      </c>
      <c r="E84" s="32">
        <f t="shared" ref="E84:E147" si="16">(D84/20)*100</f>
        <v>0</v>
      </c>
      <c r="F84" s="4">
        <v>11</v>
      </c>
      <c r="G84" s="32">
        <f t="shared" ref="G84:G147" si="17">(F84/20)*100</f>
        <v>55.000000000000007</v>
      </c>
      <c r="H84" s="18">
        <v>4</v>
      </c>
      <c r="I84" s="32">
        <f t="shared" ref="I84:I147" si="18">(H84/20)*100</f>
        <v>20</v>
      </c>
      <c r="J84" s="18">
        <v>5</v>
      </c>
      <c r="K84" s="32">
        <f t="shared" ref="K84:K147" si="19">(J84/20)*100</f>
        <v>25</v>
      </c>
      <c r="L84" s="40">
        <f t="shared" si="15"/>
        <v>20</v>
      </c>
      <c r="M84" s="41"/>
      <c r="N84" s="41" t="s">
        <v>153</v>
      </c>
      <c r="O84" s="41"/>
    </row>
    <row r="85" spans="1:15" ht="55.8" thickBot="1" x14ac:dyDescent="0.35">
      <c r="A85" s="72"/>
      <c r="B85" s="4">
        <v>3</v>
      </c>
      <c r="C85" s="4" t="s">
        <v>69</v>
      </c>
      <c r="D85" s="4">
        <v>0</v>
      </c>
      <c r="E85" s="32">
        <f t="shared" si="16"/>
        <v>0</v>
      </c>
      <c r="F85" s="4">
        <v>10</v>
      </c>
      <c r="G85" s="32">
        <f t="shared" si="17"/>
        <v>50</v>
      </c>
      <c r="H85" s="18">
        <v>3</v>
      </c>
      <c r="I85" s="32">
        <f t="shared" si="18"/>
        <v>15</v>
      </c>
      <c r="J85" s="18">
        <v>7</v>
      </c>
      <c r="K85" s="32">
        <f t="shared" si="19"/>
        <v>35</v>
      </c>
      <c r="L85" s="28">
        <f t="shared" si="15"/>
        <v>20</v>
      </c>
      <c r="N85" s="20" t="s">
        <v>153</v>
      </c>
    </row>
    <row r="86" spans="1:15" ht="69.599999999999994" thickBot="1" x14ac:dyDescent="0.35">
      <c r="A86" s="72"/>
      <c r="B86" s="4">
        <v>4</v>
      </c>
      <c r="C86" s="4" t="s">
        <v>70</v>
      </c>
      <c r="D86" s="4">
        <v>16</v>
      </c>
      <c r="E86" s="32">
        <f t="shared" si="16"/>
        <v>80</v>
      </c>
      <c r="F86" s="4">
        <v>4</v>
      </c>
      <c r="G86" s="32">
        <f t="shared" si="17"/>
        <v>20</v>
      </c>
      <c r="H86" s="18">
        <v>0</v>
      </c>
      <c r="I86" s="32">
        <f t="shared" si="18"/>
        <v>0</v>
      </c>
      <c r="J86" s="18">
        <v>0</v>
      </c>
      <c r="K86" s="32">
        <f t="shared" si="19"/>
        <v>0</v>
      </c>
      <c r="L86" s="28">
        <f t="shared" si="15"/>
        <v>20</v>
      </c>
      <c r="O86" s="20" t="s">
        <v>153</v>
      </c>
    </row>
    <row r="87" spans="1:15" ht="28.2" thickBot="1" x14ac:dyDescent="0.35">
      <c r="A87" s="72"/>
      <c r="B87" s="4">
        <v>5</v>
      </c>
      <c r="C87" s="4" t="s">
        <v>71</v>
      </c>
      <c r="D87" s="4">
        <v>0</v>
      </c>
      <c r="E87" s="32">
        <f t="shared" si="16"/>
        <v>0</v>
      </c>
      <c r="F87" s="4">
        <v>11</v>
      </c>
      <c r="G87" s="32">
        <f t="shared" si="17"/>
        <v>55.000000000000007</v>
      </c>
      <c r="H87" s="18">
        <v>1</v>
      </c>
      <c r="I87" s="32">
        <f t="shared" si="18"/>
        <v>5</v>
      </c>
      <c r="J87" s="18">
        <v>8</v>
      </c>
      <c r="K87" s="32">
        <f t="shared" si="19"/>
        <v>40</v>
      </c>
      <c r="L87" s="28">
        <f t="shared" si="15"/>
        <v>20</v>
      </c>
      <c r="N87" s="20" t="s">
        <v>153</v>
      </c>
    </row>
    <row r="88" spans="1:15" ht="42" thickBot="1" x14ac:dyDescent="0.35">
      <c r="A88" s="76"/>
      <c r="B88" s="4">
        <v>6</v>
      </c>
      <c r="C88" s="4" t="s">
        <v>72</v>
      </c>
      <c r="D88" s="4">
        <v>0</v>
      </c>
      <c r="E88" s="32">
        <f t="shared" si="16"/>
        <v>0</v>
      </c>
      <c r="F88" s="4">
        <v>1</v>
      </c>
      <c r="G88" s="32">
        <f t="shared" si="17"/>
        <v>5</v>
      </c>
      <c r="H88" s="18">
        <v>12</v>
      </c>
      <c r="I88" s="32">
        <f t="shared" si="18"/>
        <v>60</v>
      </c>
      <c r="J88" s="18">
        <v>7</v>
      </c>
      <c r="K88" s="32">
        <f t="shared" si="19"/>
        <v>35</v>
      </c>
      <c r="L88" s="28">
        <f t="shared" si="15"/>
        <v>20</v>
      </c>
      <c r="O88" s="20" t="s">
        <v>153</v>
      </c>
    </row>
    <row r="89" spans="1:15" x14ac:dyDescent="0.3">
      <c r="A89" s="8"/>
      <c r="B89" s="53"/>
      <c r="C89" s="54"/>
      <c r="D89" s="55">
        <f>SUM(D90:D95)/6*0.01</f>
        <v>0</v>
      </c>
      <c r="E89" s="45">
        <f t="shared" si="16"/>
        <v>0</v>
      </c>
      <c r="F89" s="55">
        <f>SUM(F90:F95)/6*0.33</f>
        <v>0.33</v>
      </c>
      <c r="G89" s="45">
        <f t="shared" si="17"/>
        <v>1.6500000000000001</v>
      </c>
      <c r="H89" s="56">
        <f>SUM(H90:H95)/6*0.66</f>
        <v>2.42</v>
      </c>
      <c r="I89" s="45">
        <f t="shared" si="18"/>
        <v>12.1</v>
      </c>
      <c r="J89" s="56">
        <f>SUM(J90:J95)/6*1</f>
        <v>15.333333333333334</v>
      </c>
      <c r="K89" s="45">
        <f t="shared" si="19"/>
        <v>76.666666666666671</v>
      </c>
      <c r="L89" s="46">
        <f t="shared" si="15"/>
        <v>18.083333333333336</v>
      </c>
      <c r="M89" s="47"/>
      <c r="N89" s="47"/>
      <c r="O89" s="47"/>
    </row>
    <row r="90" spans="1:15" ht="55.2" x14ac:dyDescent="0.3">
      <c r="A90" s="73" t="s">
        <v>73</v>
      </c>
      <c r="B90" s="1">
        <v>1</v>
      </c>
      <c r="C90" s="1" t="s">
        <v>74</v>
      </c>
      <c r="D90" s="1">
        <v>0</v>
      </c>
      <c r="E90" s="16">
        <f t="shared" si="16"/>
        <v>0</v>
      </c>
      <c r="F90" s="1">
        <v>1</v>
      </c>
      <c r="G90" s="16">
        <f t="shared" si="17"/>
        <v>5</v>
      </c>
      <c r="H90" s="1">
        <v>2</v>
      </c>
      <c r="I90" s="16">
        <f t="shared" si="18"/>
        <v>10</v>
      </c>
      <c r="J90" s="1">
        <v>17</v>
      </c>
      <c r="K90" s="16">
        <f t="shared" si="19"/>
        <v>85</v>
      </c>
      <c r="L90" s="20">
        <f t="shared" si="15"/>
        <v>20</v>
      </c>
      <c r="M90" s="20" t="s">
        <v>153</v>
      </c>
    </row>
    <row r="91" spans="1:15" ht="27.6" x14ac:dyDescent="0.3">
      <c r="A91" s="72"/>
      <c r="B91" s="14">
        <v>2</v>
      </c>
      <c r="C91" s="14" t="s">
        <v>75</v>
      </c>
      <c r="D91" s="14">
        <v>0</v>
      </c>
      <c r="E91" s="45">
        <f t="shared" si="16"/>
        <v>0</v>
      </c>
      <c r="F91" s="14">
        <v>0</v>
      </c>
      <c r="G91" s="45">
        <f t="shared" si="17"/>
        <v>0</v>
      </c>
      <c r="H91" s="5">
        <v>2</v>
      </c>
      <c r="I91" s="45">
        <f t="shared" si="18"/>
        <v>10</v>
      </c>
      <c r="J91" s="5">
        <v>18</v>
      </c>
      <c r="K91" s="45">
        <f t="shared" si="19"/>
        <v>90</v>
      </c>
      <c r="L91" s="2">
        <f t="shared" si="15"/>
        <v>20</v>
      </c>
      <c r="M91" s="58"/>
      <c r="N91" s="58" t="s">
        <v>153</v>
      </c>
      <c r="O91" s="58"/>
    </row>
    <row r="92" spans="1:15" ht="27.6" x14ac:dyDescent="0.3">
      <c r="A92" s="73"/>
      <c r="B92" s="1">
        <v>3</v>
      </c>
      <c r="C92" s="1" t="s">
        <v>76</v>
      </c>
      <c r="D92" s="1">
        <v>0</v>
      </c>
      <c r="E92" s="16">
        <f t="shared" si="16"/>
        <v>0</v>
      </c>
      <c r="F92" s="1">
        <v>0</v>
      </c>
      <c r="G92" s="16">
        <f t="shared" si="17"/>
        <v>0</v>
      </c>
      <c r="H92" s="1">
        <v>6</v>
      </c>
      <c r="I92" s="16">
        <f t="shared" si="18"/>
        <v>30</v>
      </c>
      <c r="J92" s="1">
        <v>14</v>
      </c>
      <c r="K92" s="16">
        <f t="shared" si="19"/>
        <v>70</v>
      </c>
      <c r="L92" s="20">
        <f t="shared" si="15"/>
        <v>20</v>
      </c>
      <c r="M92" s="20" t="s">
        <v>153</v>
      </c>
    </row>
    <row r="93" spans="1:15" ht="27.6" x14ac:dyDescent="0.3">
      <c r="A93" s="73"/>
      <c r="B93" s="1">
        <v>4</v>
      </c>
      <c r="C93" s="1" t="s">
        <v>77</v>
      </c>
      <c r="D93" s="1">
        <v>0</v>
      </c>
      <c r="E93" s="16">
        <f t="shared" si="16"/>
        <v>0</v>
      </c>
      <c r="F93" s="1">
        <v>0</v>
      </c>
      <c r="G93" s="16">
        <f t="shared" si="17"/>
        <v>0</v>
      </c>
      <c r="H93" s="1">
        <v>4</v>
      </c>
      <c r="I93" s="16">
        <f t="shared" si="18"/>
        <v>20</v>
      </c>
      <c r="J93" s="1">
        <v>16</v>
      </c>
      <c r="K93" s="16">
        <f t="shared" si="19"/>
        <v>80</v>
      </c>
      <c r="L93" s="20">
        <f t="shared" si="15"/>
        <v>20</v>
      </c>
      <c r="M93" s="20" t="s">
        <v>153</v>
      </c>
    </row>
    <row r="94" spans="1:15" ht="69" x14ac:dyDescent="0.3">
      <c r="A94" s="72"/>
      <c r="B94" s="14">
        <v>5</v>
      </c>
      <c r="C94" s="14" t="s">
        <v>78</v>
      </c>
      <c r="D94" s="14">
        <v>0</v>
      </c>
      <c r="E94" s="45">
        <f t="shared" si="16"/>
        <v>0</v>
      </c>
      <c r="F94" s="14">
        <v>2</v>
      </c>
      <c r="G94" s="45">
        <f t="shared" si="17"/>
        <v>10</v>
      </c>
      <c r="H94" s="5">
        <v>4</v>
      </c>
      <c r="I94" s="45">
        <f t="shared" si="18"/>
        <v>20</v>
      </c>
      <c r="J94" s="5">
        <v>14</v>
      </c>
      <c r="K94" s="45">
        <f t="shared" si="19"/>
        <v>70</v>
      </c>
      <c r="L94" s="2">
        <f t="shared" si="15"/>
        <v>20</v>
      </c>
      <c r="M94" s="58"/>
      <c r="N94" s="58" t="s">
        <v>153</v>
      </c>
      <c r="O94" s="58"/>
    </row>
    <row r="95" spans="1:15" ht="41.4" x14ac:dyDescent="0.3">
      <c r="A95" s="73"/>
      <c r="B95" s="1">
        <v>6</v>
      </c>
      <c r="C95" s="1" t="s">
        <v>79</v>
      </c>
      <c r="D95" s="1">
        <v>0</v>
      </c>
      <c r="E95" s="16">
        <f t="shared" si="16"/>
        <v>0</v>
      </c>
      <c r="F95" s="1">
        <v>3</v>
      </c>
      <c r="G95" s="16">
        <f t="shared" si="17"/>
        <v>15</v>
      </c>
      <c r="H95" s="1">
        <v>4</v>
      </c>
      <c r="I95" s="16">
        <f t="shared" si="18"/>
        <v>20</v>
      </c>
      <c r="J95" s="1">
        <v>13</v>
      </c>
      <c r="K95" s="16">
        <f t="shared" si="19"/>
        <v>65</v>
      </c>
      <c r="L95" s="20">
        <f t="shared" si="15"/>
        <v>20</v>
      </c>
      <c r="M95" s="20" t="s">
        <v>153</v>
      </c>
    </row>
    <row r="96" spans="1:15" ht="14.4" thickBot="1" x14ac:dyDescent="0.35">
      <c r="A96" s="42"/>
      <c r="B96" s="9"/>
      <c r="C96" s="10"/>
      <c r="D96" s="11">
        <f>SUM(D97:D104)/8*0.01</f>
        <v>0</v>
      </c>
      <c r="E96" s="32">
        <f t="shared" si="16"/>
        <v>0</v>
      </c>
      <c r="F96" s="11">
        <f>SUM(F97:F104)/8*0.33</f>
        <v>1.155</v>
      </c>
      <c r="G96" s="32">
        <f t="shared" si="17"/>
        <v>5.7750000000000004</v>
      </c>
      <c r="H96" s="12">
        <f>SUM(H97:H104)/8*0.66</f>
        <v>2.8050000000000002</v>
      </c>
      <c r="I96" s="32">
        <f t="shared" si="18"/>
        <v>14.025000000000002</v>
      </c>
      <c r="J96" s="12">
        <f>SUM(J97:J104)/8*1</f>
        <v>12.5</v>
      </c>
      <c r="K96" s="32">
        <f t="shared" si="19"/>
        <v>62.5</v>
      </c>
      <c r="L96" s="40">
        <f t="shared" si="15"/>
        <v>16.46</v>
      </c>
      <c r="M96" s="41"/>
      <c r="N96" s="41"/>
      <c r="O96" s="41"/>
    </row>
    <row r="97" spans="1:15" ht="42" thickBot="1" x14ac:dyDescent="0.35">
      <c r="A97" s="83" t="s">
        <v>139</v>
      </c>
      <c r="B97" s="4">
        <v>1</v>
      </c>
      <c r="C97" s="4" t="s">
        <v>80</v>
      </c>
      <c r="D97" s="4">
        <v>0</v>
      </c>
      <c r="E97" s="32">
        <f t="shared" si="16"/>
        <v>0</v>
      </c>
      <c r="F97" s="4">
        <v>1</v>
      </c>
      <c r="G97" s="32">
        <f t="shared" si="17"/>
        <v>5</v>
      </c>
      <c r="H97" s="18">
        <v>4</v>
      </c>
      <c r="I97" s="32">
        <f t="shared" si="18"/>
        <v>20</v>
      </c>
      <c r="J97" s="18">
        <v>15</v>
      </c>
      <c r="K97" s="32">
        <f t="shared" si="19"/>
        <v>75</v>
      </c>
      <c r="L97" s="28">
        <f t="shared" si="15"/>
        <v>20</v>
      </c>
      <c r="N97" s="20" t="s">
        <v>153</v>
      </c>
    </row>
    <row r="98" spans="1:15" ht="28.2" thickBot="1" x14ac:dyDescent="0.35">
      <c r="A98" s="85"/>
      <c r="B98" s="4">
        <v>2</v>
      </c>
      <c r="C98" s="4" t="s">
        <v>81</v>
      </c>
      <c r="D98" s="4">
        <v>0</v>
      </c>
      <c r="E98" s="32">
        <f t="shared" si="16"/>
        <v>0</v>
      </c>
      <c r="F98" s="4">
        <v>4</v>
      </c>
      <c r="G98" s="32">
        <f t="shared" si="17"/>
        <v>20</v>
      </c>
      <c r="H98" s="18">
        <v>2</v>
      </c>
      <c r="I98" s="32">
        <f t="shared" si="18"/>
        <v>10</v>
      </c>
      <c r="J98" s="18">
        <v>14</v>
      </c>
      <c r="K98" s="32">
        <f t="shared" si="19"/>
        <v>70</v>
      </c>
      <c r="L98" s="28">
        <f t="shared" si="15"/>
        <v>20</v>
      </c>
      <c r="N98" s="20" t="s">
        <v>153</v>
      </c>
    </row>
    <row r="99" spans="1:15" ht="41.4" x14ac:dyDescent="0.3">
      <c r="A99" s="85"/>
      <c r="B99" s="14">
        <v>3</v>
      </c>
      <c r="C99" s="14" t="s">
        <v>82</v>
      </c>
      <c r="D99" s="14">
        <v>0</v>
      </c>
      <c r="E99" s="45">
        <f t="shared" si="16"/>
        <v>0</v>
      </c>
      <c r="F99" s="14">
        <v>3</v>
      </c>
      <c r="G99" s="45">
        <f t="shared" si="17"/>
        <v>15</v>
      </c>
      <c r="H99" s="5">
        <v>3</v>
      </c>
      <c r="I99" s="45">
        <f t="shared" si="18"/>
        <v>15</v>
      </c>
      <c r="J99" s="5">
        <v>16</v>
      </c>
      <c r="K99" s="45">
        <f t="shared" si="19"/>
        <v>80</v>
      </c>
      <c r="L99" s="46">
        <f t="shared" si="15"/>
        <v>22</v>
      </c>
      <c r="M99" s="47"/>
      <c r="N99" s="47" t="s">
        <v>153</v>
      </c>
      <c r="O99" s="47"/>
    </row>
    <row r="100" spans="1:15" ht="41.4" x14ac:dyDescent="0.3">
      <c r="A100" s="84"/>
      <c r="B100" s="1">
        <v>4</v>
      </c>
      <c r="C100" s="1" t="s">
        <v>83</v>
      </c>
      <c r="D100" s="1">
        <v>0</v>
      </c>
      <c r="E100" s="16">
        <f t="shared" si="16"/>
        <v>0</v>
      </c>
      <c r="F100" s="1">
        <v>1</v>
      </c>
      <c r="G100" s="16">
        <f t="shared" si="17"/>
        <v>5</v>
      </c>
      <c r="H100" s="1">
        <v>0</v>
      </c>
      <c r="I100" s="16">
        <f t="shared" si="18"/>
        <v>0</v>
      </c>
      <c r="J100" s="1">
        <v>19</v>
      </c>
      <c r="K100" s="16">
        <f t="shared" si="19"/>
        <v>95</v>
      </c>
      <c r="L100" s="20">
        <f t="shared" si="15"/>
        <v>20</v>
      </c>
      <c r="M100" s="20" t="s">
        <v>153</v>
      </c>
    </row>
    <row r="101" spans="1:15" ht="42" thickBot="1" x14ac:dyDescent="0.35">
      <c r="A101" s="85"/>
      <c r="B101" s="4">
        <v>5</v>
      </c>
      <c r="C101" s="4" t="s">
        <v>84</v>
      </c>
      <c r="D101" s="4">
        <v>0</v>
      </c>
      <c r="E101" s="32">
        <f t="shared" si="16"/>
        <v>0</v>
      </c>
      <c r="F101" s="4">
        <v>2</v>
      </c>
      <c r="G101" s="32">
        <f t="shared" si="17"/>
        <v>10</v>
      </c>
      <c r="H101" s="18">
        <v>15</v>
      </c>
      <c r="I101" s="32">
        <f t="shared" si="18"/>
        <v>75</v>
      </c>
      <c r="J101" s="18">
        <v>3</v>
      </c>
      <c r="K101" s="32">
        <f t="shared" si="19"/>
        <v>15</v>
      </c>
      <c r="L101" s="40">
        <f t="shared" si="15"/>
        <v>20</v>
      </c>
      <c r="M101" s="41"/>
      <c r="N101" s="41"/>
      <c r="O101" s="41" t="s">
        <v>153</v>
      </c>
    </row>
    <row r="102" spans="1:15" ht="42" thickBot="1" x14ac:dyDescent="0.35">
      <c r="A102" s="85"/>
      <c r="B102" s="4">
        <v>6</v>
      </c>
      <c r="C102" s="4" t="s">
        <v>85</v>
      </c>
      <c r="D102" s="4">
        <v>0</v>
      </c>
      <c r="E102" s="32">
        <f t="shared" si="16"/>
        <v>0</v>
      </c>
      <c r="F102" s="4">
        <v>3</v>
      </c>
      <c r="G102" s="32">
        <f t="shared" si="17"/>
        <v>15</v>
      </c>
      <c r="H102" s="18">
        <v>3</v>
      </c>
      <c r="I102" s="32">
        <f t="shared" si="18"/>
        <v>15</v>
      </c>
      <c r="J102" s="18">
        <v>14</v>
      </c>
      <c r="K102" s="32">
        <f t="shared" si="19"/>
        <v>70</v>
      </c>
      <c r="L102" s="28">
        <f t="shared" si="15"/>
        <v>20</v>
      </c>
      <c r="N102" s="20" t="s">
        <v>153</v>
      </c>
    </row>
    <row r="103" spans="1:15" ht="42" thickBot="1" x14ac:dyDescent="0.35">
      <c r="A103" s="85"/>
      <c r="B103" s="4">
        <v>7</v>
      </c>
      <c r="C103" s="4" t="s">
        <v>86</v>
      </c>
      <c r="D103" s="4">
        <v>0</v>
      </c>
      <c r="E103" s="32">
        <f t="shared" si="16"/>
        <v>0</v>
      </c>
      <c r="F103" s="4">
        <v>4</v>
      </c>
      <c r="G103" s="32">
        <f t="shared" si="17"/>
        <v>20</v>
      </c>
      <c r="H103" s="18">
        <v>1</v>
      </c>
      <c r="I103" s="32">
        <f t="shared" si="18"/>
        <v>5</v>
      </c>
      <c r="J103" s="18">
        <v>15</v>
      </c>
      <c r="K103" s="32">
        <f t="shared" si="19"/>
        <v>75</v>
      </c>
      <c r="L103" s="28">
        <f t="shared" si="15"/>
        <v>20</v>
      </c>
      <c r="N103" s="20" t="s">
        <v>153</v>
      </c>
    </row>
    <row r="104" spans="1:15" ht="42" thickBot="1" x14ac:dyDescent="0.35">
      <c r="A104" s="86"/>
      <c r="B104" s="4">
        <v>8</v>
      </c>
      <c r="C104" s="4" t="s">
        <v>87</v>
      </c>
      <c r="D104" s="4">
        <v>0</v>
      </c>
      <c r="E104" s="32">
        <f t="shared" si="16"/>
        <v>0</v>
      </c>
      <c r="F104" s="4">
        <v>10</v>
      </c>
      <c r="G104" s="32">
        <f t="shared" si="17"/>
        <v>50</v>
      </c>
      <c r="H104" s="18">
        <v>6</v>
      </c>
      <c r="I104" s="32">
        <f t="shared" si="18"/>
        <v>30</v>
      </c>
      <c r="J104" s="18">
        <v>4</v>
      </c>
      <c r="K104" s="32">
        <f t="shared" si="19"/>
        <v>20</v>
      </c>
      <c r="L104" s="28">
        <f t="shared" si="15"/>
        <v>20</v>
      </c>
      <c r="N104" s="20" t="s">
        <v>153</v>
      </c>
    </row>
    <row r="105" spans="1:15" ht="14.4" thickBot="1" x14ac:dyDescent="0.35">
      <c r="A105" s="8"/>
      <c r="B105" s="9"/>
      <c r="C105" s="10"/>
      <c r="D105" s="11">
        <f>SUM(D106:D115)/10*0.01</f>
        <v>4.0000000000000001E-3</v>
      </c>
      <c r="E105" s="32">
        <f t="shared" si="16"/>
        <v>0.02</v>
      </c>
      <c r="F105" s="11">
        <f>SUM(F106:F115)/10*0.33</f>
        <v>1.2869999999999999</v>
      </c>
      <c r="G105" s="32">
        <f t="shared" si="17"/>
        <v>6.4349999999999987</v>
      </c>
      <c r="H105" s="12">
        <f>SUM(H106:H115)/10*0.66</f>
        <v>2.1779999999999999</v>
      </c>
      <c r="I105" s="32">
        <f t="shared" si="18"/>
        <v>10.89</v>
      </c>
      <c r="J105" s="12">
        <f>SUM(J106:J115)/10*1</f>
        <v>12.4</v>
      </c>
      <c r="K105" s="32">
        <f t="shared" si="19"/>
        <v>62</v>
      </c>
      <c r="L105" s="28">
        <f t="shared" si="15"/>
        <v>15.869</v>
      </c>
    </row>
    <row r="106" spans="1:15" ht="41.4" customHeight="1" thickBot="1" x14ac:dyDescent="0.35">
      <c r="A106" s="71" t="s">
        <v>26</v>
      </c>
      <c r="B106" s="4">
        <v>1</v>
      </c>
      <c r="C106" s="4" t="s">
        <v>88</v>
      </c>
      <c r="D106" s="4">
        <v>0</v>
      </c>
      <c r="E106" s="32">
        <f t="shared" si="16"/>
        <v>0</v>
      </c>
      <c r="F106" s="4">
        <v>1</v>
      </c>
      <c r="G106" s="32">
        <f t="shared" si="17"/>
        <v>5</v>
      </c>
      <c r="H106" s="18">
        <v>4</v>
      </c>
      <c r="I106" s="32">
        <f t="shared" si="18"/>
        <v>20</v>
      </c>
      <c r="J106" s="18">
        <v>15</v>
      </c>
      <c r="K106" s="32">
        <f t="shared" si="19"/>
        <v>75</v>
      </c>
      <c r="L106" s="28">
        <f t="shared" si="15"/>
        <v>20</v>
      </c>
      <c r="N106" s="20" t="s">
        <v>153</v>
      </c>
    </row>
    <row r="107" spans="1:15" ht="41.4" x14ac:dyDescent="0.3">
      <c r="A107" s="72"/>
      <c r="B107" s="14">
        <v>2</v>
      </c>
      <c r="C107" s="14" t="s">
        <v>89</v>
      </c>
      <c r="D107" s="14">
        <v>0</v>
      </c>
      <c r="E107" s="45">
        <f t="shared" si="16"/>
        <v>0</v>
      </c>
      <c r="F107" s="14">
        <v>3</v>
      </c>
      <c r="G107" s="45">
        <f t="shared" si="17"/>
        <v>15</v>
      </c>
      <c r="H107" s="5">
        <v>6</v>
      </c>
      <c r="I107" s="45">
        <f t="shared" si="18"/>
        <v>30</v>
      </c>
      <c r="J107" s="5">
        <v>11</v>
      </c>
      <c r="K107" s="45">
        <f t="shared" si="19"/>
        <v>55.000000000000007</v>
      </c>
      <c r="L107" s="46">
        <f t="shared" si="15"/>
        <v>20</v>
      </c>
      <c r="M107" s="47"/>
      <c r="N107" s="47" t="s">
        <v>153</v>
      </c>
      <c r="O107" s="47"/>
    </row>
    <row r="108" spans="1:15" x14ac:dyDescent="0.3">
      <c r="A108" s="73"/>
      <c r="B108" s="1">
        <v>3</v>
      </c>
      <c r="C108" s="1" t="s">
        <v>90</v>
      </c>
      <c r="D108" s="1">
        <v>0</v>
      </c>
      <c r="E108" s="16">
        <f t="shared" si="16"/>
        <v>0</v>
      </c>
      <c r="F108" s="1">
        <v>5</v>
      </c>
      <c r="G108" s="16">
        <f t="shared" si="17"/>
        <v>25</v>
      </c>
      <c r="H108" s="1">
        <v>3</v>
      </c>
      <c r="I108" s="16">
        <f t="shared" si="18"/>
        <v>15</v>
      </c>
      <c r="J108" s="1">
        <v>12</v>
      </c>
      <c r="K108" s="16">
        <f t="shared" si="19"/>
        <v>60</v>
      </c>
      <c r="L108" s="20">
        <f t="shared" si="15"/>
        <v>20</v>
      </c>
      <c r="M108" s="20" t="s">
        <v>153</v>
      </c>
    </row>
    <row r="109" spans="1:15" ht="55.2" x14ac:dyDescent="0.3">
      <c r="A109" s="73"/>
      <c r="B109" s="1">
        <v>4</v>
      </c>
      <c r="C109" s="1" t="s">
        <v>91</v>
      </c>
      <c r="D109" s="1">
        <v>1</v>
      </c>
      <c r="E109" s="16">
        <f t="shared" si="16"/>
        <v>5</v>
      </c>
      <c r="F109" s="1">
        <v>2</v>
      </c>
      <c r="G109" s="16">
        <f t="shared" si="17"/>
        <v>10</v>
      </c>
      <c r="H109" s="1">
        <v>3</v>
      </c>
      <c r="I109" s="16">
        <f t="shared" si="18"/>
        <v>15</v>
      </c>
      <c r="J109" s="1">
        <v>14</v>
      </c>
      <c r="K109" s="16">
        <f t="shared" si="19"/>
        <v>70</v>
      </c>
      <c r="L109" s="20">
        <f t="shared" si="15"/>
        <v>20</v>
      </c>
      <c r="M109" s="20" t="s">
        <v>153</v>
      </c>
    </row>
    <row r="110" spans="1:15" ht="69" x14ac:dyDescent="0.3">
      <c r="A110" s="73"/>
      <c r="B110" s="1">
        <v>5</v>
      </c>
      <c r="C110" s="1" t="s">
        <v>92</v>
      </c>
      <c r="D110" s="1">
        <v>0</v>
      </c>
      <c r="E110" s="16">
        <f t="shared" si="16"/>
        <v>0</v>
      </c>
      <c r="F110" s="1">
        <v>2</v>
      </c>
      <c r="G110" s="16">
        <f t="shared" si="17"/>
        <v>10</v>
      </c>
      <c r="H110" s="1">
        <v>2</v>
      </c>
      <c r="I110" s="16">
        <f t="shared" si="18"/>
        <v>10</v>
      </c>
      <c r="J110" s="1">
        <v>16</v>
      </c>
      <c r="K110" s="16">
        <f t="shared" si="19"/>
        <v>80</v>
      </c>
      <c r="L110" s="20">
        <f t="shared" si="15"/>
        <v>20</v>
      </c>
      <c r="M110" s="20" t="s">
        <v>153</v>
      </c>
    </row>
    <row r="111" spans="1:15" ht="41.4" x14ac:dyDescent="0.3">
      <c r="A111" s="72"/>
      <c r="B111" s="14">
        <v>6</v>
      </c>
      <c r="C111" s="14" t="s">
        <v>93</v>
      </c>
      <c r="D111" s="14">
        <v>0</v>
      </c>
      <c r="E111" s="45">
        <f t="shared" si="16"/>
        <v>0</v>
      </c>
      <c r="F111" s="14">
        <v>6</v>
      </c>
      <c r="G111" s="45">
        <f t="shared" si="17"/>
        <v>30</v>
      </c>
      <c r="H111" s="5">
        <v>3</v>
      </c>
      <c r="I111" s="45">
        <f t="shared" si="18"/>
        <v>15</v>
      </c>
      <c r="J111" s="5">
        <v>11</v>
      </c>
      <c r="K111" s="45">
        <f t="shared" si="19"/>
        <v>55.000000000000007</v>
      </c>
      <c r="L111" s="2">
        <f t="shared" si="15"/>
        <v>20</v>
      </c>
      <c r="M111" s="58"/>
      <c r="N111" s="58" t="s">
        <v>153</v>
      </c>
      <c r="O111" s="58"/>
    </row>
    <row r="112" spans="1:15" ht="55.2" x14ac:dyDescent="0.3">
      <c r="A112" s="73"/>
      <c r="B112" s="1">
        <v>7</v>
      </c>
      <c r="C112" s="1" t="s">
        <v>94</v>
      </c>
      <c r="D112" s="1">
        <v>0</v>
      </c>
      <c r="E112" s="16">
        <f t="shared" si="16"/>
        <v>0</v>
      </c>
      <c r="F112" s="1">
        <v>3</v>
      </c>
      <c r="G112" s="16">
        <f t="shared" si="17"/>
        <v>15</v>
      </c>
      <c r="H112" s="1">
        <v>5</v>
      </c>
      <c r="I112" s="16">
        <f t="shared" si="18"/>
        <v>25</v>
      </c>
      <c r="J112" s="1">
        <v>12</v>
      </c>
      <c r="K112" s="16">
        <f t="shared" si="19"/>
        <v>60</v>
      </c>
      <c r="L112" s="20">
        <f t="shared" si="15"/>
        <v>20</v>
      </c>
      <c r="M112" s="20" t="s">
        <v>153</v>
      </c>
    </row>
    <row r="113" spans="1:15" ht="42" thickBot="1" x14ac:dyDescent="0.35">
      <c r="A113" s="72"/>
      <c r="B113" s="4">
        <v>8</v>
      </c>
      <c r="C113" s="4" t="s">
        <v>95</v>
      </c>
      <c r="D113" s="4">
        <v>0</v>
      </c>
      <c r="E113" s="32">
        <f t="shared" si="16"/>
        <v>0</v>
      </c>
      <c r="F113" s="4">
        <v>3</v>
      </c>
      <c r="G113" s="32">
        <f t="shared" si="17"/>
        <v>15</v>
      </c>
      <c r="H113" s="18">
        <v>4</v>
      </c>
      <c r="I113" s="32">
        <f t="shared" si="18"/>
        <v>20</v>
      </c>
      <c r="J113" s="18">
        <v>13</v>
      </c>
      <c r="K113" s="32">
        <f t="shared" si="19"/>
        <v>65</v>
      </c>
      <c r="L113" s="40">
        <f t="shared" si="15"/>
        <v>20</v>
      </c>
      <c r="M113" s="41"/>
      <c r="N113" s="41" t="s">
        <v>153</v>
      </c>
      <c r="O113" s="41"/>
    </row>
    <row r="114" spans="1:15" ht="42" thickBot="1" x14ac:dyDescent="0.35">
      <c r="A114" s="72"/>
      <c r="B114" s="4">
        <v>9</v>
      </c>
      <c r="C114" s="4" t="s">
        <v>96</v>
      </c>
      <c r="D114" s="4">
        <v>3</v>
      </c>
      <c r="E114" s="32">
        <f t="shared" si="16"/>
        <v>15</v>
      </c>
      <c r="F114" s="4">
        <v>6</v>
      </c>
      <c r="G114" s="32">
        <f t="shared" si="17"/>
        <v>30</v>
      </c>
      <c r="H114" s="18">
        <v>2</v>
      </c>
      <c r="I114" s="32">
        <f t="shared" si="18"/>
        <v>10</v>
      </c>
      <c r="J114" s="18">
        <v>9</v>
      </c>
      <c r="K114" s="32">
        <f t="shared" si="19"/>
        <v>45</v>
      </c>
      <c r="L114" s="28">
        <f t="shared" si="15"/>
        <v>20</v>
      </c>
      <c r="N114" s="20" t="s">
        <v>153</v>
      </c>
    </row>
    <row r="115" spans="1:15" ht="69.599999999999994" thickBot="1" x14ac:dyDescent="0.35">
      <c r="A115" s="76"/>
      <c r="B115" s="4">
        <v>10</v>
      </c>
      <c r="C115" s="4" t="s">
        <v>97</v>
      </c>
      <c r="D115" s="4">
        <v>0</v>
      </c>
      <c r="E115" s="32">
        <f t="shared" si="16"/>
        <v>0</v>
      </c>
      <c r="F115" s="4">
        <v>8</v>
      </c>
      <c r="G115" s="32">
        <f t="shared" si="17"/>
        <v>40</v>
      </c>
      <c r="H115" s="18">
        <v>1</v>
      </c>
      <c r="I115" s="32">
        <f t="shared" si="18"/>
        <v>5</v>
      </c>
      <c r="J115" s="18">
        <v>11</v>
      </c>
      <c r="K115" s="32">
        <f t="shared" si="19"/>
        <v>55.000000000000007</v>
      </c>
      <c r="L115" s="28">
        <f t="shared" si="15"/>
        <v>20</v>
      </c>
      <c r="N115" s="20" t="s">
        <v>153</v>
      </c>
    </row>
    <row r="116" spans="1:15" x14ac:dyDescent="0.3">
      <c r="A116" s="8"/>
      <c r="B116" s="53"/>
      <c r="C116" s="54"/>
      <c r="D116" s="55">
        <f>SUM(D117:D122)/6*0.01</f>
        <v>2.5000000000000001E-2</v>
      </c>
      <c r="E116" s="45">
        <f t="shared" si="16"/>
        <v>0.125</v>
      </c>
      <c r="F116" s="55">
        <f>SUM(F117:F122)/6*0.33</f>
        <v>1.43</v>
      </c>
      <c r="G116" s="45">
        <f t="shared" si="17"/>
        <v>7.1499999999999995</v>
      </c>
      <c r="H116" s="56">
        <f>SUM(H117:H122)/6*0.66</f>
        <v>1.5400000000000003</v>
      </c>
      <c r="I116" s="45">
        <f t="shared" si="18"/>
        <v>7.7000000000000011</v>
      </c>
      <c r="J116" s="56">
        <f>SUM(J117:J122)/6*1</f>
        <v>10.833333333333334</v>
      </c>
      <c r="K116" s="45">
        <f t="shared" si="19"/>
        <v>54.166666666666671</v>
      </c>
      <c r="L116" s="46">
        <f t="shared" si="15"/>
        <v>13.828333333333333</v>
      </c>
      <c r="M116" s="47"/>
      <c r="N116" s="47"/>
      <c r="O116" s="47"/>
    </row>
    <row r="117" spans="1:15" ht="55.2" x14ac:dyDescent="0.3">
      <c r="A117" s="73" t="s">
        <v>33</v>
      </c>
      <c r="B117" s="1">
        <v>1</v>
      </c>
      <c r="C117" s="1" t="s">
        <v>98</v>
      </c>
      <c r="D117" s="1">
        <v>0</v>
      </c>
      <c r="E117" s="16">
        <f t="shared" si="16"/>
        <v>0</v>
      </c>
      <c r="F117" s="1">
        <v>4</v>
      </c>
      <c r="G117" s="16">
        <f t="shared" si="17"/>
        <v>20</v>
      </c>
      <c r="H117" s="1">
        <v>2</v>
      </c>
      <c r="I117" s="16">
        <f t="shared" si="18"/>
        <v>10</v>
      </c>
      <c r="J117" s="1">
        <v>14</v>
      </c>
      <c r="K117" s="16">
        <f t="shared" si="19"/>
        <v>70</v>
      </c>
      <c r="L117" s="20">
        <f t="shared" si="15"/>
        <v>20</v>
      </c>
      <c r="M117" s="20" t="s">
        <v>153</v>
      </c>
    </row>
    <row r="118" spans="1:15" ht="69" x14ac:dyDescent="0.3">
      <c r="A118" s="73"/>
      <c r="B118" s="1">
        <v>2</v>
      </c>
      <c r="C118" s="1" t="s">
        <v>99</v>
      </c>
      <c r="D118" s="1">
        <v>0</v>
      </c>
      <c r="E118" s="16">
        <f t="shared" si="16"/>
        <v>0</v>
      </c>
      <c r="F118" s="1">
        <v>4</v>
      </c>
      <c r="G118" s="16">
        <f t="shared" si="17"/>
        <v>20</v>
      </c>
      <c r="H118" s="1">
        <v>1</v>
      </c>
      <c r="I118" s="16">
        <f t="shared" si="18"/>
        <v>5</v>
      </c>
      <c r="J118" s="1">
        <v>15</v>
      </c>
      <c r="K118" s="16">
        <f t="shared" si="19"/>
        <v>75</v>
      </c>
      <c r="L118" s="20">
        <f t="shared" si="15"/>
        <v>20</v>
      </c>
      <c r="M118" s="20" t="s">
        <v>153</v>
      </c>
    </row>
    <row r="119" spans="1:15" ht="42" thickBot="1" x14ac:dyDescent="0.35">
      <c r="A119" s="72"/>
      <c r="B119" s="4">
        <v>3</v>
      </c>
      <c r="C119" s="4" t="s">
        <v>100</v>
      </c>
      <c r="D119" s="4">
        <v>3</v>
      </c>
      <c r="E119" s="32">
        <f t="shared" si="16"/>
        <v>15</v>
      </c>
      <c r="F119" s="4">
        <v>5</v>
      </c>
      <c r="G119" s="32">
        <f t="shared" si="17"/>
        <v>25</v>
      </c>
      <c r="H119" s="18">
        <v>2</v>
      </c>
      <c r="I119" s="32">
        <f t="shared" si="18"/>
        <v>10</v>
      </c>
      <c r="J119" s="18">
        <v>10</v>
      </c>
      <c r="K119" s="32">
        <f t="shared" si="19"/>
        <v>50</v>
      </c>
      <c r="L119" s="40">
        <f t="shared" si="15"/>
        <v>20</v>
      </c>
      <c r="M119" s="41"/>
      <c r="N119" s="41" t="s">
        <v>153</v>
      </c>
      <c r="O119" s="41"/>
    </row>
    <row r="120" spans="1:15" ht="27.6" x14ac:dyDescent="0.3">
      <c r="A120" s="72"/>
      <c r="B120" s="14">
        <v>4</v>
      </c>
      <c r="C120" s="14" t="s">
        <v>101</v>
      </c>
      <c r="D120" s="14">
        <v>5</v>
      </c>
      <c r="E120" s="45">
        <f t="shared" si="16"/>
        <v>25</v>
      </c>
      <c r="F120" s="14">
        <v>6</v>
      </c>
      <c r="G120" s="45">
        <f t="shared" si="17"/>
        <v>30</v>
      </c>
      <c r="H120" s="5">
        <v>3</v>
      </c>
      <c r="I120" s="45">
        <f t="shared" si="18"/>
        <v>15</v>
      </c>
      <c r="J120" s="5">
        <v>6</v>
      </c>
      <c r="K120" s="45">
        <f t="shared" si="19"/>
        <v>30</v>
      </c>
      <c r="L120" s="46">
        <f>D120+F120+H120+J120</f>
        <v>20</v>
      </c>
      <c r="M120" s="47"/>
      <c r="N120" s="47" t="s">
        <v>153</v>
      </c>
      <c r="O120" s="47" t="s">
        <v>153</v>
      </c>
    </row>
    <row r="121" spans="1:15" ht="55.2" x14ac:dyDescent="0.3">
      <c r="A121" s="73"/>
      <c r="B121" s="1">
        <v>5</v>
      </c>
      <c r="C121" s="1" t="s">
        <v>102</v>
      </c>
      <c r="D121" s="1">
        <v>4</v>
      </c>
      <c r="E121" s="16">
        <f t="shared" si="16"/>
        <v>20</v>
      </c>
      <c r="F121" s="1">
        <v>5</v>
      </c>
      <c r="G121" s="16">
        <f t="shared" si="17"/>
        <v>25</v>
      </c>
      <c r="H121" s="1">
        <v>3</v>
      </c>
      <c r="I121" s="16">
        <f t="shared" si="18"/>
        <v>15</v>
      </c>
      <c r="J121" s="1">
        <v>8</v>
      </c>
      <c r="K121" s="16">
        <f t="shared" si="19"/>
        <v>40</v>
      </c>
      <c r="L121" s="20">
        <f t="shared" si="15"/>
        <v>20</v>
      </c>
      <c r="M121" s="20" t="s">
        <v>153</v>
      </c>
    </row>
    <row r="122" spans="1:15" ht="69.599999999999994" thickBot="1" x14ac:dyDescent="0.35">
      <c r="A122" s="76"/>
      <c r="B122" s="4">
        <v>6</v>
      </c>
      <c r="C122" s="4" t="s">
        <v>103</v>
      </c>
      <c r="D122" s="4">
        <v>3</v>
      </c>
      <c r="E122" s="32">
        <f t="shared" si="16"/>
        <v>15</v>
      </c>
      <c r="F122" s="4">
        <v>2</v>
      </c>
      <c r="G122" s="32">
        <f t="shared" si="17"/>
        <v>10</v>
      </c>
      <c r="H122" s="18">
        <v>3</v>
      </c>
      <c r="I122" s="32">
        <f t="shared" si="18"/>
        <v>15</v>
      </c>
      <c r="J122" s="18">
        <v>12</v>
      </c>
      <c r="K122" s="32">
        <f t="shared" si="19"/>
        <v>60</v>
      </c>
      <c r="L122" s="40">
        <f t="shared" si="15"/>
        <v>20</v>
      </c>
      <c r="M122" s="41"/>
      <c r="N122" s="41"/>
      <c r="O122" s="41" t="s">
        <v>153</v>
      </c>
    </row>
    <row r="123" spans="1:15" ht="32.4" customHeight="1" thickBot="1" x14ac:dyDescent="0.35">
      <c r="A123" s="77" t="s">
        <v>141</v>
      </c>
      <c r="B123" s="78"/>
      <c r="C123" s="79"/>
      <c r="D123" s="4"/>
      <c r="E123" s="32">
        <f t="shared" si="16"/>
        <v>0</v>
      </c>
      <c r="F123" s="4"/>
      <c r="G123" s="32">
        <f t="shared" si="17"/>
        <v>0</v>
      </c>
      <c r="H123" s="18"/>
      <c r="I123" s="32">
        <f t="shared" si="18"/>
        <v>0</v>
      </c>
      <c r="J123" s="18"/>
      <c r="K123" s="32">
        <f t="shared" si="19"/>
        <v>0</v>
      </c>
      <c r="L123" s="28"/>
    </row>
    <row r="124" spans="1:15" ht="14.4" thickBot="1" x14ac:dyDescent="0.35">
      <c r="A124" s="8"/>
      <c r="B124" s="9"/>
      <c r="C124" s="10"/>
      <c r="D124" s="11">
        <f>SUM(D125:D128)/4*0.01</f>
        <v>0</v>
      </c>
      <c r="E124" s="32">
        <f t="shared" si="16"/>
        <v>0</v>
      </c>
      <c r="F124" s="11">
        <f>SUM(F125:F128)/4*0.33</f>
        <v>1.5675000000000001</v>
      </c>
      <c r="G124" s="32">
        <f t="shared" si="17"/>
        <v>7.8375000000000004</v>
      </c>
      <c r="H124" s="12">
        <f>SUM(H125:H128)/4*0.66</f>
        <v>2.31</v>
      </c>
      <c r="I124" s="32">
        <f t="shared" si="18"/>
        <v>11.55</v>
      </c>
      <c r="J124" s="12">
        <f>SUM(J125:J128)/4*1</f>
        <v>11.75</v>
      </c>
      <c r="K124" s="32">
        <f t="shared" si="19"/>
        <v>58.75</v>
      </c>
      <c r="L124" s="29">
        <f t="shared" ref="L124:L162" si="20">SUM(D124:J124)</f>
        <v>35.015000000000001</v>
      </c>
    </row>
    <row r="125" spans="1:15" ht="28.2" thickBot="1" x14ac:dyDescent="0.35">
      <c r="A125" s="71" t="s">
        <v>7</v>
      </c>
      <c r="B125" s="4">
        <v>1</v>
      </c>
      <c r="C125" s="4" t="s">
        <v>104</v>
      </c>
      <c r="D125" s="4">
        <v>0</v>
      </c>
      <c r="E125" s="32">
        <f t="shared" si="16"/>
        <v>0</v>
      </c>
      <c r="F125" s="4">
        <v>5</v>
      </c>
      <c r="G125" s="32">
        <f t="shared" si="17"/>
        <v>25</v>
      </c>
      <c r="H125" s="18">
        <v>2</v>
      </c>
      <c r="I125" s="32">
        <f t="shared" si="18"/>
        <v>10</v>
      </c>
      <c r="J125" s="18">
        <v>13</v>
      </c>
      <c r="K125" s="32">
        <f t="shared" si="19"/>
        <v>65</v>
      </c>
      <c r="L125" s="28">
        <f>SUM(D125:J125)</f>
        <v>55</v>
      </c>
      <c r="N125" s="20" t="s">
        <v>153</v>
      </c>
    </row>
    <row r="126" spans="1:15" ht="28.2" thickBot="1" x14ac:dyDescent="0.35">
      <c r="A126" s="72"/>
      <c r="B126" s="4">
        <v>2</v>
      </c>
      <c r="C126" s="4" t="s">
        <v>105</v>
      </c>
      <c r="D126" s="4">
        <v>0</v>
      </c>
      <c r="E126" s="32">
        <f t="shared" si="16"/>
        <v>0</v>
      </c>
      <c r="F126" s="4">
        <v>5</v>
      </c>
      <c r="G126" s="32">
        <f t="shared" si="17"/>
        <v>25</v>
      </c>
      <c r="H126" s="18">
        <v>5</v>
      </c>
      <c r="I126" s="32">
        <f t="shared" si="18"/>
        <v>25</v>
      </c>
      <c r="J126" s="18">
        <v>10</v>
      </c>
      <c r="K126" s="32">
        <f t="shared" si="19"/>
        <v>50</v>
      </c>
      <c r="L126" s="28">
        <f t="shared" si="20"/>
        <v>70</v>
      </c>
      <c r="N126" s="20" t="s">
        <v>153</v>
      </c>
    </row>
    <row r="127" spans="1:15" ht="28.2" thickBot="1" x14ac:dyDescent="0.35">
      <c r="A127" s="72"/>
      <c r="B127" s="4">
        <v>3</v>
      </c>
      <c r="C127" s="4" t="s">
        <v>106</v>
      </c>
      <c r="D127" s="4">
        <v>0</v>
      </c>
      <c r="E127" s="32">
        <f t="shared" si="16"/>
        <v>0</v>
      </c>
      <c r="F127" s="4">
        <v>5</v>
      </c>
      <c r="G127" s="32">
        <f t="shared" si="17"/>
        <v>25</v>
      </c>
      <c r="H127" s="18">
        <v>5</v>
      </c>
      <c r="I127" s="32">
        <f t="shared" si="18"/>
        <v>25</v>
      </c>
      <c r="J127" s="18">
        <v>10</v>
      </c>
      <c r="K127" s="32">
        <f t="shared" si="19"/>
        <v>50</v>
      </c>
      <c r="L127" s="28">
        <f t="shared" si="20"/>
        <v>70</v>
      </c>
      <c r="N127" s="20" t="s">
        <v>153</v>
      </c>
    </row>
    <row r="128" spans="1:15" ht="28.2" thickBot="1" x14ac:dyDescent="0.35">
      <c r="A128" s="76"/>
      <c r="B128" s="4">
        <v>4</v>
      </c>
      <c r="C128" s="4" t="s">
        <v>107</v>
      </c>
      <c r="D128" s="4">
        <v>0</v>
      </c>
      <c r="E128" s="32">
        <f t="shared" si="16"/>
        <v>0</v>
      </c>
      <c r="F128" s="4">
        <v>4</v>
      </c>
      <c r="G128" s="32">
        <f t="shared" si="17"/>
        <v>20</v>
      </c>
      <c r="H128" s="18">
        <v>2</v>
      </c>
      <c r="I128" s="32">
        <f t="shared" si="18"/>
        <v>10</v>
      </c>
      <c r="J128" s="18">
        <v>14</v>
      </c>
      <c r="K128" s="32">
        <f t="shared" si="19"/>
        <v>70</v>
      </c>
      <c r="L128" s="28">
        <f t="shared" si="20"/>
        <v>50</v>
      </c>
      <c r="N128" s="20" t="s">
        <v>153</v>
      </c>
    </row>
    <row r="129" spans="1:15" x14ac:dyDescent="0.3">
      <c r="A129" s="8"/>
      <c r="B129" s="53"/>
      <c r="C129" s="54"/>
      <c r="D129" s="55">
        <f>SUM(D130:D134)/5*0.01</f>
        <v>2E-3</v>
      </c>
      <c r="E129" s="45">
        <f t="shared" si="16"/>
        <v>0.01</v>
      </c>
      <c r="F129" s="55">
        <f>SUM(F130:F134)/5*0.33</f>
        <v>1.3860000000000001</v>
      </c>
      <c r="G129" s="45">
        <f t="shared" si="17"/>
        <v>6.93</v>
      </c>
      <c r="H129" s="56">
        <f>SUM(H130:H134)/5*0.66</f>
        <v>2.1120000000000001</v>
      </c>
      <c r="I129" s="45">
        <f t="shared" si="18"/>
        <v>10.56</v>
      </c>
      <c r="J129" s="56">
        <f>SUM(J130:J134)/5*1</f>
        <v>13.4</v>
      </c>
      <c r="K129" s="45">
        <f t="shared" si="19"/>
        <v>67</v>
      </c>
      <c r="L129" s="57">
        <f t="shared" si="20"/>
        <v>34.4</v>
      </c>
      <c r="M129" s="47"/>
      <c r="N129" s="47"/>
      <c r="O129" s="47"/>
    </row>
    <row r="130" spans="1:15" ht="41.4" x14ac:dyDescent="0.3">
      <c r="A130" s="73" t="s">
        <v>138</v>
      </c>
      <c r="B130" s="1">
        <v>1</v>
      </c>
      <c r="C130" s="1" t="s">
        <v>108</v>
      </c>
      <c r="D130" s="1">
        <v>0</v>
      </c>
      <c r="E130" s="16">
        <f t="shared" si="16"/>
        <v>0</v>
      </c>
      <c r="F130" s="1">
        <v>4</v>
      </c>
      <c r="G130" s="16">
        <f t="shared" si="17"/>
        <v>20</v>
      </c>
      <c r="H130" s="1">
        <v>3</v>
      </c>
      <c r="I130" s="16">
        <f t="shared" si="18"/>
        <v>15</v>
      </c>
      <c r="J130" s="1">
        <v>13</v>
      </c>
      <c r="K130" s="16">
        <f t="shared" si="19"/>
        <v>65</v>
      </c>
      <c r="L130" s="20">
        <f t="shared" si="20"/>
        <v>55</v>
      </c>
      <c r="M130" s="20" t="s">
        <v>153</v>
      </c>
      <c r="N130" s="20" t="s">
        <v>153</v>
      </c>
    </row>
    <row r="131" spans="1:15" ht="42" thickBot="1" x14ac:dyDescent="0.35">
      <c r="A131" s="72"/>
      <c r="B131" s="4">
        <v>2</v>
      </c>
      <c r="C131" s="4" t="s">
        <v>109</v>
      </c>
      <c r="D131" s="4">
        <v>1</v>
      </c>
      <c r="E131" s="32">
        <f t="shared" si="16"/>
        <v>5</v>
      </c>
      <c r="F131" s="4">
        <v>4</v>
      </c>
      <c r="G131" s="32">
        <f t="shared" si="17"/>
        <v>20</v>
      </c>
      <c r="H131" s="18">
        <v>5</v>
      </c>
      <c r="I131" s="32">
        <f t="shared" si="18"/>
        <v>25</v>
      </c>
      <c r="J131" s="18">
        <v>15</v>
      </c>
      <c r="K131" s="32">
        <f t="shared" si="19"/>
        <v>75</v>
      </c>
      <c r="L131" s="40">
        <f t="shared" si="20"/>
        <v>75</v>
      </c>
      <c r="M131" s="41"/>
      <c r="N131" s="41" t="s">
        <v>153</v>
      </c>
      <c r="O131" s="41"/>
    </row>
    <row r="132" spans="1:15" ht="69.599999999999994" thickBot="1" x14ac:dyDescent="0.35">
      <c r="A132" s="72"/>
      <c r="B132" s="4">
        <v>3</v>
      </c>
      <c r="C132" s="4" t="s">
        <v>110</v>
      </c>
      <c r="D132" s="4">
        <v>0</v>
      </c>
      <c r="E132" s="32">
        <f t="shared" si="16"/>
        <v>0</v>
      </c>
      <c r="F132" s="4">
        <v>5</v>
      </c>
      <c r="G132" s="32">
        <f t="shared" si="17"/>
        <v>25</v>
      </c>
      <c r="H132" s="18">
        <v>4</v>
      </c>
      <c r="I132" s="32">
        <f t="shared" si="18"/>
        <v>20</v>
      </c>
      <c r="J132" s="18">
        <v>11</v>
      </c>
      <c r="K132" s="32">
        <f t="shared" si="19"/>
        <v>55.000000000000007</v>
      </c>
      <c r="L132" s="28">
        <f t="shared" si="20"/>
        <v>65</v>
      </c>
      <c r="N132" s="20" t="s">
        <v>153</v>
      </c>
    </row>
    <row r="133" spans="1:15" ht="55.8" thickBot="1" x14ac:dyDescent="0.35">
      <c r="A133" s="72"/>
      <c r="B133" s="4">
        <v>4</v>
      </c>
      <c r="C133" s="4" t="s">
        <v>111</v>
      </c>
      <c r="D133" s="4">
        <v>0</v>
      </c>
      <c r="E133" s="32">
        <f t="shared" si="16"/>
        <v>0</v>
      </c>
      <c r="F133" s="4">
        <v>1</v>
      </c>
      <c r="G133" s="32">
        <f t="shared" si="17"/>
        <v>5</v>
      </c>
      <c r="H133" s="18">
        <v>1</v>
      </c>
      <c r="I133" s="32">
        <f t="shared" si="18"/>
        <v>5</v>
      </c>
      <c r="J133" s="18">
        <v>18</v>
      </c>
      <c r="K133" s="32">
        <f t="shared" si="19"/>
        <v>90</v>
      </c>
      <c r="L133" s="28">
        <f t="shared" si="20"/>
        <v>30</v>
      </c>
      <c r="N133" s="20" t="s">
        <v>153</v>
      </c>
    </row>
    <row r="134" spans="1:15" ht="28.2" thickBot="1" x14ac:dyDescent="0.35">
      <c r="A134" s="76"/>
      <c r="B134" s="4">
        <v>5</v>
      </c>
      <c r="C134" s="4" t="s">
        <v>112</v>
      </c>
      <c r="D134" s="4">
        <v>0</v>
      </c>
      <c r="E134" s="32">
        <f t="shared" si="16"/>
        <v>0</v>
      </c>
      <c r="F134" s="4">
        <v>7</v>
      </c>
      <c r="G134" s="32">
        <f t="shared" si="17"/>
        <v>35</v>
      </c>
      <c r="H134" s="18">
        <v>3</v>
      </c>
      <c r="I134" s="32">
        <f t="shared" si="18"/>
        <v>15</v>
      </c>
      <c r="J134" s="18">
        <v>10</v>
      </c>
      <c r="K134" s="32">
        <f t="shared" si="19"/>
        <v>50</v>
      </c>
      <c r="L134" s="28">
        <f t="shared" si="20"/>
        <v>70</v>
      </c>
      <c r="N134" s="20" t="s">
        <v>153</v>
      </c>
    </row>
    <row r="135" spans="1:15" ht="14.4" thickBot="1" x14ac:dyDescent="0.35">
      <c r="A135" s="8"/>
      <c r="B135" s="9"/>
      <c r="C135" s="10"/>
      <c r="D135" s="11">
        <f>SUM(D136:D139)/4*0.01</f>
        <v>0</v>
      </c>
      <c r="E135" s="32">
        <f t="shared" si="16"/>
        <v>0</v>
      </c>
      <c r="F135" s="11">
        <f>SUM(F136:F139)/4*0.33</f>
        <v>1.4025000000000001</v>
      </c>
      <c r="G135" s="32">
        <f t="shared" si="17"/>
        <v>7.0125000000000011</v>
      </c>
      <c r="H135" s="12">
        <f>SUM(H136:H139)/4*0.66</f>
        <v>1.155</v>
      </c>
      <c r="I135" s="32">
        <f t="shared" si="18"/>
        <v>5.7750000000000004</v>
      </c>
      <c r="J135" s="12">
        <f>SUM(J136:J139)/4*1</f>
        <v>14</v>
      </c>
      <c r="K135" s="32">
        <f t="shared" si="19"/>
        <v>70</v>
      </c>
      <c r="L135" s="29">
        <f t="shared" si="20"/>
        <v>29.344999999999999</v>
      </c>
    </row>
    <row r="136" spans="1:15" ht="28.2" thickBot="1" x14ac:dyDescent="0.35">
      <c r="A136" s="80" t="s">
        <v>15</v>
      </c>
      <c r="B136" s="4">
        <v>1</v>
      </c>
      <c r="C136" s="4" t="s">
        <v>113</v>
      </c>
      <c r="D136" s="4">
        <v>0</v>
      </c>
      <c r="E136" s="32">
        <f t="shared" si="16"/>
        <v>0</v>
      </c>
      <c r="F136" s="4">
        <v>2</v>
      </c>
      <c r="G136" s="32">
        <f t="shared" si="17"/>
        <v>10</v>
      </c>
      <c r="H136" s="18">
        <v>2</v>
      </c>
      <c r="I136" s="32">
        <f t="shared" si="18"/>
        <v>10</v>
      </c>
      <c r="J136" s="18">
        <v>16</v>
      </c>
      <c r="K136" s="32">
        <f t="shared" si="19"/>
        <v>80</v>
      </c>
      <c r="L136" s="28">
        <f t="shared" si="20"/>
        <v>40</v>
      </c>
      <c r="N136" s="20" t="s">
        <v>153</v>
      </c>
    </row>
    <row r="137" spans="1:15" ht="55.8" thickBot="1" x14ac:dyDescent="0.35">
      <c r="A137" s="81"/>
      <c r="B137" s="4">
        <v>2</v>
      </c>
      <c r="C137" s="4" t="s">
        <v>114</v>
      </c>
      <c r="D137" s="4">
        <v>0</v>
      </c>
      <c r="E137" s="32">
        <f t="shared" si="16"/>
        <v>0</v>
      </c>
      <c r="F137" s="4">
        <v>8</v>
      </c>
      <c r="G137" s="32">
        <f t="shared" si="17"/>
        <v>40</v>
      </c>
      <c r="H137" s="18">
        <v>1</v>
      </c>
      <c r="I137" s="32">
        <f t="shared" si="18"/>
        <v>5</v>
      </c>
      <c r="J137" s="18">
        <v>11</v>
      </c>
      <c r="K137" s="32">
        <f t="shared" si="19"/>
        <v>55.000000000000007</v>
      </c>
      <c r="L137" s="28">
        <f t="shared" si="20"/>
        <v>65</v>
      </c>
      <c r="N137" s="20" t="s">
        <v>153</v>
      </c>
    </row>
    <row r="138" spans="1:15" ht="42" thickBot="1" x14ac:dyDescent="0.35">
      <c r="A138" s="81"/>
      <c r="B138" s="4">
        <v>3</v>
      </c>
      <c r="C138" s="4" t="s">
        <v>115</v>
      </c>
      <c r="D138" s="4">
        <v>0</v>
      </c>
      <c r="E138" s="32">
        <f t="shared" si="16"/>
        <v>0</v>
      </c>
      <c r="F138" s="4">
        <v>6</v>
      </c>
      <c r="G138" s="32">
        <f t="shared" si="17"/>
        <v>30</v>
      </c>
      <c r="H138" s="18">
        <v>2</v>
      </c>
      <c r="I138" s="32">
        <f t="shared" si="18"/>
        <v>10</v>
      </c>
      <c r="J138" s="18">
        <v>12</v>
      </c>
      <c r="K138" s="32">
        <f t="shared" si="19"/>
        <v>60</v>
      </c>
      <c r="L138" s="28">
        <f t="shared" si="20"/>
        <v>60</v>
      </c>
      <c r="N138" s="20" t="s">
        <v>153</v>
      </c>
    </row>
    <row r="139" spans="1:15" ht="55.8" thickBot="1" x14ac:dyDescent="0.35">
      <c r="A139" s="82"/>
      <c r="B139" s="4">
        <v>4</v>
      </c>
      <c r="C139" s="4" t="s">
        <v>116</v>
      </c>
      <c r="D139" s="4">
        <v>0</v>
      </c>
      <c r="E139" s="32">
        <f t="shared" si="16"/>
        <v>0</v>
      </c>
      <c r="F139" s="4">
        <v>1</v>
      </c>
      <c r="G139" s="32">
        <f t="shared" si="17"/>
        <v>5</v>
      </c>
      <c r="H139" s="18">
        <v>2</v>
      </c>
      <c r="I139" s="32">
        <f t="shared" si="18"/>
        <v>10</v>
      </c>
      <c r="J139" s="18">
        <v>17</v>
      </c>
      <c r="K139" s="32">
        <f t="shared" si="19"/>
        <v>85</v>
      </c>
      <c r="L139" s="28">
        <f t="shared" si="20"/>
        <v>35</v>
      </c>
      <c r="O139" s="20" t="s">
        <v>153</v>
      </c>
    </row>
    <row r="140" spans="1:15" ht="14.4" thickBot="1" x14ac:dyDescent="0.35">
      <c r="A140" s="8"/>
      <c r="B140" s="9"/>
      <c r="C140" s="10"/>
      <c r="D140" s="11">
        <f>SUM(D141:D148)/8*0.01</f>
        <v>0</v>
      </c>
      <c r="E140" s="32">
        <f t="shared" si="16"/>
        <v>0</v>
      </c>
      <c r="F140" s="11">
        <f>SUM(F141:F148)/8*0.33</f>
        <v>0.41250000000000003</v>
      </c>
      <c r="G140" s="32">
        <f t="shared" si="17"/>
        <v>2.0625</v>
      </c>
      <c r="H140" s="12">
        <f>SUM(H141:H148)/8*0.66</f>
        <v>2.4750000000000001</v>
      </c>
      <c r="I140" s="32">
        <f t="shared" si="18"/>
        <v>12.375</v>
      </c>
      <c r="J140" s="12">
        <f>SUM(J141:J148)/8*1</f>
        <v>15</v>
      </c>
      <c r="K140" s="32">
        <f t="shared" si="19"/>
        <v>75</v>
      </c>
      <c r="L140" s="29">
        <f t="shared" si="20"/>
        <v>32.325000000000003</v>
      </c>
    </row>
    <row r="141" spans="1:15" ht="41.4" x14ac:dyDescent="0.3">
      <c r="A141" s="83" t="s">
        <v>139</v>
      </c>
      <c r="B141" s="14">
        <v>1</v>
      </c>
      <c r="C141" s="14" t="s">
        <v>117</v>
      </c>
      <c r="D141" s="14">
        <v>0</v>
      </c>
      <c r="E141" s="45">
        <f t="shared" si="16"/>
        <v>0</v>
      </c>
      <c r="F141" s="14">
        <v>1</v>
      </c>
      <c r="G141" s="45">
        <f t="shared" si="17"/>
        <v>5</v>
      </c>
      <c r="H141" s="5">
        <v>4</v>
      </c>
      <c r="I141" s="45">
        <f t="shared" si="18"/>
        <v>20</v>
      </c>
      <c r="J141" s="5">
        <v>15</v>
      </c>
      <c r="K141" s="45">
        <f t="shared" si="19"/>
        <v>75</v>
      </c>
      <c r="L141" s="46">
        <f t="shared" si="20"/>
        <v>45</v>
      </c>
      <c r="M141" s="47"/>
      <c r="N141" s="47" t="s">
        <v>153</v>
      </c>
      <c r="O141" s="47"/>
    </row>
    <row r="142" spans="1:15" ht="41.4" x14ac:dyDescent="0.3">
      <c r="A142" s="84"/>
      <c r="B142" s="1">
        <v>2</v>
      </c>
      <c r="C142" s="1" t="s">
        <v>118</v>
      </c>
      <c r="D142" s="1">
        <v>0</v>
      </c>
      <c r="E142" s="16">
        <f t="shared" si="16"/>
        <v>0</v>
      </c>
      <c r="F142" s="1">
        <v>0</v>
      </c>
      <c r="G142" s="16">
        <f t="shared" si="17"/>
        <v>0</v>
      </c>
      <c r="H142" s="1">
        <v>3</v>
      </c>
      <c r="I142" s="16">
        <f t="shared" si="18"/>
        <v>15</v>
      </c>
      <c r="J142" s="1">
        <v>17</v>
      </c>
      <c r="K142" s="16">
        <f t="shared" si="19"/>
        <v>85</v>
      </c>
      <c r="L142" s="20">
        <f t="shared" si="20"/>
        <v>35</v>
      </c>
      <c r="M142" s="20" t="s">
        <v>153</v>
      </c>
    </row>
    <row r="143" spans="1:15" ht="41.4" x14ac:dyDescent="0.3">
      <c r="A143" s="84"/>
      <c r="B143" s="1">
        <v>3</v>
      </c>
      <c r="C143" s="1" t="s">
        <v>119</v>
      </c>
      <c r="D143" s="1">
        <v>0</v>
      </c>
      <c r="E143" s="16">
        <f t="shared" si="16"/>
        <v>0</v>
      </c>
      <c r="F143" s="1">
        <v>1</v>
      </c>
      <c r="G143" s="16">
        <f t="shared" si="17"/>
        <v>5</v>
      </c>
      <c r="H143" s="1">
        <v>9</v>
      </c>
      <c r="I143" s="16">
        <f t="shared" si="18"/>
        <v>45</v>
      </c>
      <c r="J143" s="1">
        <v>10</v>
      </c>
      <c r="K143" s="16">
        <f t="shared" si="19"/>
        <v>50</v>
      </c>
      <c r="L143" s="20">
        <f t="shared" si="20"/>
        <v>70</v>
      </c>
      <c r="M143" s="20" t="s">
        <v>153</v>
      </c>
    </row>
    <row r="144" spans="1:15" ht="55.2" x14ac:dyDescent="0.3">
      <c r="A144" s="84"/>
      <c r="B144" s="1">
        <v>4</v>
      </c>
      <c r="C144" s="1" t="s">
        <v>120</v>
      </c>
      <c r="D144" s="1">
        <v>0</v>
      </c>
      <c r="E144" s="16">
        <f t="shared" si="16"/>
        <v>0</v>
      </c>
      <c r="F144" s="1">
        <v>2</v>
      </c>
      <c r="G144" s="16">
        <f t="shared" si="17"/>
        <v>10</v>
      </c>
      <c r="H144" s="1">
        <v>5</v>
      </c>
      <c r="I144" s="16">
        <f t="shared" si="18"/>
        <v>25</v>
      </c>
      <c r="J144" s="1">
        <v>13</v>
      </c>
      <c r="K144" s="16">
        <f t="shared" si="19"/>
        <v>65</v>
      </c>
      <c r="L144" s="20">
        <f t="shared" si="20"/>
        <v>55</v>
      </c>
      <c r="M144" s="20" t="s">
        <v>153</v>
      </c>
      <c r="O144" s="20" t="s">
        <v>153</v>
      </c>
    </row>
    <row r="145" spans="1:15" ht="28.2" thickBot="1" x14ac:dyDescent="0.35">
      <c r="A145" s="85"/>
      <c r="B145" s="4">
        <v>5</v>
      </c>
      <c r="C145" s="4" t="s">
        <v>121</v>
      </c>
      <c r="D145" s="4">
        <v>0</v>
      </c>
      <c r="E145" s="32">
        <f t="shared" si="16"/>
        <v>0</v>
      </c>
      <c r="F145" s="4">
        <v>0</v>
      </c>
      <c r="G145" s="32">
        <f t="shared" si="17"/>
        <v>0</v>
      </c>
      <c r="H145" s="18">
        <v>2</v>
      </c>
      <c r="I145" s="32">
        <f t="shared" si="18"/>
        <v>10</v>
      </c>
      <c r="J145" s="18">
        <v>18</v>
      </c>
      <c r="K145" s="32">
        <f t="shared" si="19"/>
        <v>90</v>
      </c>
      <c r="L145" s="40">
        <f t="shared" si="20"/>
        <v>30</v>
      </c>
      <c r="M145" s="41"/>
      <c r="N145" s="41" t="s">
        <v>153</v>
      </c>
      <c r="O145" s="41" t="s">
        <v>153</v>
      </c>
    </row>
    <row r="146" spans="1:15" ht="69.599999999999994" thickBot="1" x14ac:dyDescent="0.35">
      <c r="A146" s="85"/>
      <c r="B146" s="4">
        <v>6</v>
      </c>
      <c r="C146" s="4" t="s">
        <v>122</v>
      </c>
      <c r="D146" s="4">
        <v>0</v>
      </c>
      <c r="E146" s="32">
        <f t="shared" si="16"/>
        <v>0</v>
      </c>
      <c r="F146" s="4">
        <v>2</v>
      </c>
      <c r="G146" s="32">
        <f t="shared" si="17"/>
        <v>10</v>
      </c>
      <c r="H146" s="18">
        <v>3</v>
      </c>
      <c r="I146" s="32">
        <f t="shared" si="18"/>
        <v>15</v>
      </c>
      <c r="J146" s="18">
        <v>15</v>
      </c>
      <c r="K146" s="32">
        <f t="shared" si="19"/>
        <v>75</v>
      </c>
      <c r="L146" s="28">
        <f t="shared" si="20"/>
        <v>45</v>
      </c>
      <c r="N146" s="20" t="s">
        <v>153</v>
      </c>
    </row>
    <row r="147" spans="1:15" ht="83.4" thickBot="1" x14ac:dyDescent="0.35">
      <c r="A147" s="85"/>
      <c r="B147" s="4">
        <v>7</v>
      </c>
      <c r="C147" s="4" t="s">
        <v>123</v>
      </c>
      <c r="D147" s="4">
        <v>0</v>
      </c>
      <c r="E147" s="32">
        <f t="shared" si="16"/>
        <v>0</v>
      </c>
      <c r="F147" s="4">
        <v>3</v>
      </c>
      <c r="G147" s="32">
        <f t="shared" si="17"/>
        <v>15</v>
      </c>
      <c r="H147" s="18">
        <v>1</v>
      </c>
      <c r="I147" s="32">
        <f t="shared" si="18"/>
        <v>5</v>
      </c>
      <c r="J147" s="18">
        <v>16</v>
      </c>
      <c r="K147" s="32">
        <f t="shared" si="19"/>
        <v>80</v>
      </c>
      <c r="L147" s="28">
        <f t="shared" si="20"/>
        <v>40</v>
      </c>
      <c r="N147" s="20" t="s">
        <v>153</v>
      </c>
    </row>
    <row r="148" spans="1:15" ht="28.2" thickBot="1" x14ac:dyDescent="0.35">
      <c r="A148" s="86"/>
      <c r="B148" s="4">
        <v>8</v>
      </c>
      <c r="C148" s="4" t="s">
        <v>124</v>
      </c>
      <c r="D148" s="4">
        <v>0</v>
      </c>
      <c r="E148" s="32">
        <f t="shared" ref="E148:E162" si="21">(D148/20)*100</f>
        <v>0</v>
      </c>
      <c r="F148" s="4">
        <v>1</v>
      </c>
      <c r="G148" s="32">
        <f t="shared" ref="G148:G162" si="22">(F148/20)*100</f>
        <v>5</v>
      </c>
      <c r="H148" s="18">
        <v>3</v>
      </c>
      <c r="I148" s="32">
        <f t="shared" ref="I148:I162" si="23">(H148/20)*100</f>
        <v>15</v>
      </c>
      <c r="J148" s="18">
        <v>16</v>
      </c>
      <c r="K148" s="32">
        <f t="shared" ref="K148:K162" si="24">(J148/20)*100</f>
        <v>80</v>
      </c>
      <c r="L148" s="28">
        <f t="shared" si="20"/>
        <v>40</v>
      </c>
      <c r="N148" s="20" t="s">
        <v>153</v>
      </c>
    </row>
    <row r="149" spans="1:15" ht="14.4" thickBot="1" x14ac:dyDescent="0.35">
      <c r="A149" s="8"/>
      <c r="B149" s="9"/>
      <c r="C149" s="10"/>
      <c r="D149" s="11">
        <f>SUM(D150:D156)/7*0.01</f>
        <v>5.7142857142857143E-3</v>
      </c>
      <c r="E149" s="32">
        <f t="shared" si="21"/>
        <v>2.8571428571428574E-2</v>
      </c>
      <c r="F149" s="11">
        <f>SUM(F150:F156)/7*0.33</f>
        <v>1.1314285714285715</v>
      </c>
      <c r="G149" s="32">
        <f t="shared" si="22"/>
        <v>5.6571428571428575</v>
      </c>
      <c r="H149" s="12">
        <f>SUM(H150:H156)/7*0.66</f>
        <v>2.5457142857142858</v>
      </c>
      <c r="I149" s="32">
        <f t="shared" si="23"/>
        <v>12.728571428571428</v>
      </c>
      <c r="J149" s="12">
        <f>SUM(J150:J156)/7*1</f>
        <v>12.857142857142858</v>
      </c>
      <c r="K149" s="32">
        <f t="shared" si="24"/>
        <v>64.285714285714292</v>
      </c>
      <c r="L149" s="29">
        <f t="shared" si="20"/>
        <v>34.954285714285717</v>
      </c>
    </row>
    <row r="150" spans="1:15" ht="42" thickBot="1" x14ac:dyDescent="0.35">
      <c r="A150" s="71" t="s">
        <v>26</v>
      </c>
      <c r="B150" s="4">
        <v>1</v>
      </c>
      <c r="C150" s="4" t="s">
        <v>125</v>
      </c>
      <c r="D150" s="4">
        <v>0</v>
      </c>
      <c r="E150" s="32">
        <f t="shared" si="21"/>
        <v>0</v>
      </c>
      <c r="F150" s="4">
        <v>5</v>
      </c>
      <c r="G150" s="32">
        <f t="shared" si="22"/>
        <v>25</v>
      </c>
      <c r="H150" s="18">
        <v>2</v>
      </c>
      <c r="I150" s="32">
        <f t="shared" si="23"/>
        <v>10</v>
      </c>
      <c r="J150" s="18">
        <v>13</v>
      </c>
      <c r="K150" s="32">
        <f t="shared" si="24"/>
        <v>65</v>
      </c>
      <c r="L150" s="28">
        <f t="shared" si="20"/>
        <v>55</v>
      </c>
      <c r="N150" s="20" t="s">
        <v>153</v>
      </c>
    </row>
    <row r="151" spans="1:15" ht="28.2" thickBot="1" x14ac:dyDescent="0.35">
      <c r="A151" s="72"/>
      <c r="B151" s="4">
        <v>2</v>
      </c>
      <c r="C151" s="4" t="s">
        <v>126</v>
      </c>
      <c r="D151" s="4">
        <v>0</v>
      </c>
      <c r="E151" s="32">
        <f t="shared" si="21"/>
        <v>0</v>
      </c>
      <c r="F151" s="4">
        <v>0</v>
      </c>
      <c r="G151" s="32">
        <f t="shared" si="22"/>
        <v>0</v>
      </c>
      <c r="H151" s="18">
        <v>6</v>
      </c>
      <c r="I151" s="32">
        <f t="shared" si="23"/>
        <v>30</v>
      </c>
      <c r="J151" s="18">
        <v>14</v>
      </c>
      <c r="K151" s="32">
        <f t="shared" si="24"/>
        <v>70</v>
      </c>
      <c r="L151" s="28">
        <f t="shared" si="20"/>
        <v>50</v>
      </c>
      <c r="N151" s="20" t="s">
        <v>153</v>
      </c>
    </row>
    <row r="152" spans="1:15" ht="42" thickBot="1" x14ac:dyDescent="0.35">
      <c r="A152" s="72"/>
      <c r="B152" s="4">
        <v>3</v>
      </c>
      <c r="C152" s="4" t="s">
        <v>127</v>
      </c>
      <c r="D152" s="4">
        <v>0</v>
      </c>
      <c r="E152" s="32">
        <f t="shared" si="21"/>
        <v>0</v>
      </c>
      <c r="F152" s="4">
        <v>4</v>
      </c>
      <c r="G152" s="32">
        <f t="shared" si="22"/>
        <v>20</v>
      </c>
      <c r="H152" s="18">
        <v>6</v>
      </c>
      <c r="I152" s="32">
        <f t="shared" si="23"/>
        <v>30</v>
      </c>
      <c r="J152" s="18">
        <v>15</v>
      </c>
      <c r="K152" s="32">
        <f t="shared" si="24"/>
        <v>75</v>
      </c>
      <c r="L152" s="28">
        <f t="shared" si="20"/>
        <v>75</v>
      </c>
      <c r="O152" s="20" t="s">
        <v>153</v>
      </c>
    </row>
    <row r="153" spans="1:15" ht="28.2" thickBot="1" x14ac:dyDescent="0.35">
      <c r="A153" s="72"/>
      <c r="B153" s="4">
        <v>4</v>
      </c>
      <c r="C153" s="4" t="s">
        <v>128</v>
      </c>
      <c r="D153" s="4">
        <v>0</v>
      </c>
      <c r="E153" s="32">
        <f t="shared" si="21"/>
        <v>0</v>
      </c>
      <c r="F153" s="4">
        <v>0</v>
      </c>
      <c r="G153" s="32">
        <f t="shared" si="22"/>
        <v>0</v>
      </c>
      <c r="H153" s="18">
        <v>5</v>
      </c>
      <c r="I153" s="32">
        <f t="shared" si="23"/>
        <v>25</v>
      </c>
      <c r="J153" s="18">
        <v>15</v>
      </c>
      <c r="K153" s="32">
        <f t="shared" si="24"/>
        <v>75</v>
      </c>
      <c r="L153" s="28">
        <f t="shared" si="20"/>
        <v>45</v>
      </c>
      <c r="N153" s="20" t="s">
        <v>153</v>
      </c>
      <c r="O153" s="20" t="s">
        <v>153</v>
      </c>
    </row>
    <row r="154" spans="1:15" ht="69" x14ac:dyDescent="0.3">
      <c r="A154" s="72"/>
      <c r="B154" s="14">
        <v>5</v>
      </c>
      <c r="C154" s="14" t="s">
        <v>129</v>
      </c>
      <c r="D154" s="14">
        <v>2</v>
      </c>
      <c r="E154" s="45">
        <f t="shared" si="21"/>
        <v>10</v>
      </c>
      <c r="F154" s="14">
        <v>6</v>
      </c>
      <c r="G154" s="45">
        <f t="shared" si="22"/>
        <v>30</v>
      </c>
      <c r="H154" s="5">
        <v>1</v>
      </c>
      <c r="I154" s="45">
        <f t="shared" si="23"/>
        <v>5</v>
      </c>
      <c r="J154" s="5">
        <v>11</v>
      </c>
      <c r="K154" s="45">
        <f t="shared" si="24"/>
        <v>55.000000000000007</v>
      </c>
      <c r="L154" s="46">
        <f t="shared" si="20"/>
        <v>65</v>
      </c>
      <c r="M154" s="47"/>
      <c r="N154" s="47"/>
      <c r="O154" s="47" t="s">
        <v>153</v>
      </c>
    </row>
    <row r="155" spans="1:15" ht="41.4" x14ac:dyDescent="0.3">
      <c r="A155" s="73"/>
      <c r="B155" s="1">
        <v>6</v>
      </c>
      <c r="C155" s="1" t="s">
        <v>130</v>
      </c>
      <c r="D155" s="1">
        <v>0</v>
      </c>
      <c r="E155" s="16">
        <f t="shared" si="21"/>
        <v>0</v>
      </c>
      <c r="F155" s="1">
        <v>5</v>
      </c>
      <c r="G155" s="16">
        <f t="shared" si="22"/>
        <v>25</v>
      </c>
      <c r="H155" s="1">
        <v>4</v>
      </c>
      <c r="I155" s="16">
        <f t="shared" si="23"/>
        <v>20</v>
      </c>
      <c r="J155" s="1">
        <v>11</v>
      </c>
      <c r="K155" s="16">
        <f t="shared" si="24"/>
        <v>55.000000000000007</v>
      </c>
      <c r="L155" s="20">
        <f t="shared" si="20"/>
        <v>65</v>
      </c>
      <c r="M155" s="20" t="s">
        <v>153</v>
      </c>
    </row>
    <row r="156" spans="1:15" ht="27.6" x14ac:dyDescent="0.3">
      <c r="A156" s="73"/>
      <c r="B156" s="1">
        <v>7</v>
      </c>
      <c r="C156" s="1" t="s">
        <v>131</v>
      </c>
      <c r="D156" s="1">
        <v>2</v>
      </c>
      <c r="E156" s="16">
        <f t="shared" si="21"/>
        <v>10</v>
      </c>
      <c r="F156" s="1">
        <v>4</v>
      </c>
      <c r="G156" s="16">
        <f t="shared" si="22"/>
        <v>20</v>
      </c>
      <c r="H156" s="1">
        <v>3</v>
      </c>
      <c r="I156" s="16">
        <f t="shared" si="23"/>
        <v>15</v>
      </c>
      <c r="J156" s="1">
        <v>11</v>
      </c>
      <c r="K156" s="16">
        <f t="shared" si="24"/>
        <v>55.000000000000007</v>
      </c>
      <c r="L156" s="20">
        <f>D156+F156+H156+J156</f>
        <v>20</v>
      </c>
      <c r="M156" s="20" t="s">
        <v>153</v>
      </c>
      <c r="N156" s="20" t="s">
        <v>153</v>
      </c>
    </row>
    <row r="157" spans="1:15" ht="14.4" thickBot="1" x14ac:dyDescent="0.35">
      <c r="A157" s="42"/>
      <c r="B157" s="9"/>
      <c r="C157" s="10"/>
      <c r="D157" s="11">
        <f>SUM(D158:D162)/5*0.01</f>
        <v>0.01</v>
      </c>
      <c r="E157" s="32">
        <f t="shared" si="21"/>
        <v>0.05</v>
      </c>
      <c r="F157" s="11">
        <f>SUM(F158:F162)/5*0.33</f>
        <v>0.8580000000000001</v>
      </c>
      <c r="G157" s="32">
        <f t="shared" si="22"/>
        <v>4.2900000000000009</v>
      </c>
      <c r="H157" s="12">
        <f>SUM(H158:H162)/5*0.66</f>
        <v>3.6959999999999997</v>
      </c>
      <c r="I157" s="32">
        <f t="shared" si="23"/>
        <v>18.48</v>
      </c>
      <c r="J157" s="12">
        <f>SUM(J158:J162)/5*1</f>
        <v>10.8</v>
      </c>
      <c r="K157" s="32">
        <f t="shared" si="24"/>
        <v>54</v>
      </c>
      <c r="L157" s="27">
        <f t="shared" si="20"/>
        <v>38.183999999999997</v>
      </c>
      <c r="M157" s="41"/>
      <c r="N157" s="41"/>
      <c r="O157" s="41"/>
    </row>
    <row r="158" spans="1:15" ht="83.4" thickBot="1" x14ac:dyDescent="0.35">
      <c r="A158" s="71" t="s">
        <v>33</v>
      </c>
      <c r="B158" s="4">
        <v>1</v>
      </c>
      <c r="C158" s="4" t="s">
        <v>132</v>
      </c>
      <c r="D158" s="4">
        <v>2</v>
      </c>
      <c r="E158" s="32">
        <f t="shared" si="21"/>
        <v>10</v>
      </c>
      <c r="F158" s="4">
        <v>1</v>
      </c>
      <c r="G158" s="32">
        <f t="shared" si="22"/>
        <v>5</v>
      </c>
      <c r="H158" s="18">
        <v>3</v>
      </c>
      <c r="I158" s="32">
        <f t="shared" si="23"/>
        <v>15</v>
      </c>
      <c r="J158" s="18">
        <v>14</v>
      </c>
      <c r="K158" s="32">
        <f t="shared" si="24"/>
        <v>70</v>
      </c>
      <c r="L158" s="28">
        <f t="shared" si="20"/>
        <v>50</v>
      </c>
      <c r="N158" s="20" t="s">
        <v>153</v>
      </c>
    </row>
    <row r="159" spans="1:15" ht="42" thickBot="1" x14ac:dyDescent="0.35">
      <c r="A159" s="72"/>
      <c r="B159" s="4">
        <v>2</v>
      </c>
      <c r="C159" s="4" t="s">
        <v>133</v>
      </c>
      <c r="D159" s="4">
        <v>1</v>
      </c>
      <c r="E159" s="32">
        <f t="shared" si="21"/>
        <v>5</v>
      </c>
      <c r="F159" s="4">
        <v>4</v>
      </c>
      <c r="G159" s="32">
        <f t="shared" si="22"/>
        <v>20</v>
      </c>
      <c r="H159" s="18">
        <v>5</v>
      </c>
      <c r="I159" s="32">
        <f t="shared" si="23"/>
        <v>25</v>
      </c>
      <c r="J159" s="18">
        <v>10</v>
      </c>
      <c r="K159" s="32">
        <f t="shared" si="24"/>
        <v>50</v>
      </c>
      <c r="L159" s="28">
        <f t="shared" si="20"/>
        <v>70</v>
      </c>
      <c r="N159" s="20" t="s">
        <v>153</v>
      </c>
    </row>
    <row r="160" spans="1:15" ht="69.599999999999994" thickBot="1" x14ac:dyDescent="0.35">
      <c r="A160" s="72"/>
      <c r="B160" s="4">
        <v>3</v>
      </c>
      <c r="C160" s="4" t="s">
        <v>134</v>
      </c>
      <c r="D160" s="4">
        <v>0</v>
      </c>
      <c r="E160" s="32">
        <f t="shared" si="21"/>
        <v>0</v>
      </c>
      <c r="F160" s="4">
        <v>2</v>
      </c>
      <c r="G160" s="32">
        <f t="shared" si="22"/>
        <v>10</v>
      </c>
      <c r="H160" s="18">
        <v>8</v>
      </c>
      <c r="I160" s="32">
        <f t="shared" si="23"/>
        <v>40</v>
      </c>
      <c r="J160" s="18">
        <v>10</v>
      </c>
      <c r="K160" s="32">
        <f t="shared" si="24"/>
        <v>50</v>
      </c>
      <c r="L160" s="28">
        <f t="shared" si="20"/>
        <v>70</v>
      </c>
      <c r="N160" s="20" t="s">
        <v>153</v>
      </c>
    </row>
    <row r="161" spans="1:15" ht="55.8" thickBot="1" x14ac:dyDescent="0.35">
      <c r="A161" s="72"/>
      <c r="B161" s="4">
        <v>4</v>
      </c>
      <c r="C161" s="4" t="s">
        <v>135</v>
      </c>
      <c r="D161" s="4">
        <v>1</v>
      </c>
      <c r="E161" s="32">
        <f t="shared" si="21"/>
        <v>5</v>
      </c>
      <c r="F161" s="4">
        <v>4</v>
      </c>
      <c r="G161" s="32">
        <f t="shared" si="22"/>
        <v>20</v>
      </c>
      <c r="H161" s="18">
        <v>3</v>
      </c>
      <c r="I161" s="32">
        <f t="shared" si="23"/>
        <v>15</v>
      </c>
      <c r="J161" s="18">
        <v>12</v>
      </c>
      <c r="K161" s="32">
        <f t="shared" si="24"/>
        <v>60</v>
      </c>
      <c r="L161" s="28">
        <f t="shared" si="20"/>
        <v>60</v>
      </c>
      <c r="N161" s="20" t="s">
        <v>153</v>
      </c>
    </row>
    <row r="162" spans="1:15" ht="55.2" x14ac:dyDescent="0.3">
      <c r="A162" s="72"/>
      <c r="B162" s="14">
        <v>5</v>
      </c>
      <c r="C162" s="14" t="s">
        <v>136</v>
      </c>
      <c r="D162" s="14">
        <v>1</v>
      </c>
      <c r="E162" s="45">
        <f t="shared" si="21"/>
        <v>5</v>
      </c>
      <c r="F162" s="14">
        <v>2</v>
      </c>
      <c r="G162" s="45">
        <f t="shared" si="22"/>
        <v>10</v>
      </c>
      <c r="H162" s="5">
        <v>9</v>
      </c>
      <c r="I162" s="45">
        <f t="shared" si="23"/>
        <v>45</v>
      </c>
      <c r="J162" s="5">
        <v>8</v>
      </c>
      <c r="K162" s="45">
        <f t="shared" si="24"/>
        <v>40</v>
      </c>
      <c r="L162" s="46">
        <f t="shared" si="20"/>
        <v>80</v>
      </c>
      <c r="M162" s="47"/>
      <c r="N162" s="47" t="s">
        <v>153</v>
      </c>
      <c r="O162" s="47"/>
    </row>
  </sheetData>
  <autoFilter ref="A10:V162" xr:uid="{80F67F2A-186C-4884-A62D-D8363A44A805}"/>
  <mergeCells count="47">
    <mergeCell ref="S2:T2"/>
    <mergeCell ref="A1:V1"/>
    <mergeCell ref="U2:V2"/>
    <mergeCell ref="J2:L2"/>
    <mergeCell ref="L10:L11"/>
    <mergeCell ref="M2:N2"/>
    <mergeCell ref="O2:P2"/>
    <mergeCell ref="Q2:R2"/>
    <mergeCell ref="A6:H6"/>
    <mergeCell ref="M10:M12"/>
    <mergeCell ref="N10:N12"/>
    <mergeCell ref="O10:O12"/>
    <mergeCell ref="A46:C46"/>
    <mergeCell ref="A9:A10"/>
    <mergeCell ref="B9:B10"/>
    <mergeCell ref="C9:C10"/>
    <mergeCell ref="D9:J9"/>
    <mergeCell ref="A11:C11"/>
    <mergeCell ref="A13:A14"/>
    <mergeCell ref="A16:A20"/>
    <mergeCell ref="A22:A25"/>
    <mergeCell ref="A27:A32"/>
    <mergeCell ref="A34:A39"/>
    <mergeCell ref="A41:A45"/>
    <mergeCell ref="A79:C79"/>
    <mergeCell ref="A48:A49"/>
    <mergeCell ref="A51:A54"/>
    <mergeCell ref="A56:A57"/>
    <mergeCell ref="A59:A62"/>
    <mergeCell ref="A64:A72"/>
    <mergeCell ref="A74:A78"/>
    <mergeCell ref="A150:A156"/>
    <mergeCell ref="A158:A162"/>
    <mergeCell ref="A2:H2"/>
    <mergeCell ref="A3:H3"/>
    <mergeCell ref="A4:H4"/>
    <mergeCell ref="A5:H5"/>
    <mergeCell ref="A117:A122"/>
    <mergeCell ref="A123:C123"/>
    <mergeCell ref="A125:A128"/>
    <mergeCell ref="A130:A134"/>
    <mergeCell ref="A136:A139"/>
    <mergeCell ref="A141:A148"/>
    <mergeCell ref="A83:A88"/>
    <mergeCell ref="A90:A95"/>
    <mergeCell ref="A97:A104"/>
    <mergeCell ref="A106:A115"/>
  </mergeCells>
  <phoneticPr fontId="11" type="noConversion"/>
  <conditionalFormatting sqref="J3:V3">
    <cfRule type="top10" dxfId="3" priority="4" rank="1"/>
  </conditionalFormatting>
  <conditionalFormatting sqref="J4:V4">
    <cfRule type="top10" dxfId="2" priority="3" rank="1"/>
  </conditionalFormatting>
  <conditionalFormatting sqref="J5:V5">
    <cfRule type="top10" dxfId="1" priority="2" rank="1"/>
  </conditionalFormatting>
  <conditionalFormatting sqref="J6:V6">
    <cfRule type="top10" dxfId="0" priority="1" rank="1"/>
  </conditionalFormatting>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56F1A-37A9-41F4-A8D5-09776392CF57}">
  <dimension ref="A2:K134"/>
  <sheetViews>
    <sheetView zoomScale="115" zoomScaleNormal="115" workbookViewId="0">
      <selection activeCell="M6" sqref="M6"/>
    </sheetView>
  </sheetViews>
  <sheetFormatPr defaultRowHeight="13.8" x14ac:dyDescent="0.3"/>
  <cols>
    <col min="1" max="1" width="8.6640625" style="63" customWidth="1"/>
    <col min="2" max="2" width="4.77734375" style="2" customWidth="1"/>
    <col min="3" max="3" width="26.77734375" style="2" customWidth="1"/>
    <col min="4" max="4" width="4.77734375" style="2" customWidth="1"/>
    <col min="5" max="5" width="6" style="70" customWidth="1"/>
    <col min="6" max="6" width="5.21875" style="2" customWidth="1"/>
    <col min="7" max="7" width="6.88671875" style="70" customWidth="1"/>
    <col min="8" max="8" width="5" style="2" customWidth="1"/>
    <col min="9" max="9" width="6.44140625" style="70" customWidth="1"/>
    <col min="10" max="10" width="5.88671875" style="2" customWidth="1"/>
    <col min="11" max="11" width="6" style="70" customWidth="1"/>
    <col min="12" max="12" width="8.88671875" style="2"/>
    <col min="13" max="13" width="9.21875" style="2" customWidth="1"/>
    <col min="14" max="14" width="10.5546875" style="2" bestFit="1" customWidth="1"/>
    <col min="15" max="15" width="10.6640625" style="2" customWidth="1"/>
    <col min="16" max="18" width="9.44140625" style="2" bestFit="1" customWidth="1"/>
    <col min="19" max="16384" width="8.88671875" style="2"/>
  </cols>
  <sheetData>
    <row r="2" spans="1:11" x14ac:dyDescent="0.3">
      <c r="A2" s="115" t="s">
        <v>160</v>
      </c>
      <c r="B2" s="115"/>
      <c r="C2" s="115"/>
      <c r="D2" s="115"/>
      <c r="E2" s="115"/>
      <c r="F2" s="115"/>
      <c r="G2" s="115"/>
      <c r="H2" s="115"/>
      <c r="I2" s="115"/>
      <c r="J2" s="115"/>
      <c r="K2" s="115"/>
    </row>
    <row r="3" spans="1:11" x14ac:dyDescent="0.3">
      <c r="A3" s="115"/>
      <c r="B3" s="115"/>
      <c r="C3" s="115"/>
      <c r="D3" s="115"/>
      <c r="E3" s="115"/>
      <c r="F3" s="115"/>
      <c r="G3" s="115"/>
      <c r="H3" s="115"/>
      <c r="I3" s="115"/>
      <c r="J3" s="115"/>
      <c r="K3" s="115"/>
    </row>
    <row r="4" spans="1:11" ht="14.4" thickBot="1" x14ac:dyDescent="0.35"/>
    <row r="5" spans="1:11" ht="19.8" customHeight="1" x14ac:dyDescent="0.3">
      <c r="A5" s="116" t="s">
        <v>0</v>
      </c>
      <c r="B5" s="118"/>
      <c r="C5" s="108" t="s">
        <v>158</v>
      </c>
      <c r="D5" s="108" t="s">
        <v>1</v>
      </c>
      <c r="E5" s="108"/>
      <c r="F5" s="108"/>
      <c r="G5" s="108"/>
      <c r="H5" s="108"/>
      <c r="I5" s="108"/>
      <c r="J5" s="108"/>
      <c r="K5" s="109"/>
    </row>
    <row r="6" spans="1:11" ht="139.19999999999999" customHeight="1" x14ac:dyDescent="0.3">
      <c r="A6" s="117"/>
      <c r="B6" s="88"/>
      <c r="C6" s="89"/>
      <c r="D6" s="59" t="s">
        <v>2</v>
      </c>
      <c r="E6" s="61" t="s">
        <v>152</v>
      </c>
      <c r="F6" s="59" t="s">
        <v>3</v>
      </c>
      <c r="G6" s="61" t="s">
        <v>152</v>
      </c>
      <c r="H6" s="59" t="s">
        <v>4</v>
      </c>
      <c r="I6" s="61" t="s">
        <v>152</v>
      </c>
      <c r="J6" s="59" t="s">
        <v>5</v>
      </c>
      <c r="K6" s="66" t="s">
        <v>152</v>
      </c>
    </row>
    <row r="7" spans="1:11" ht="30.6" customHeight="1" x14ac:dyDescent="0.3">
      <c r="A7" s="110" t="s">
        <v>6</v>
      </c>
      <c r="B7" s="111"/>
      <c r="C7" s="111"/>
      <c r="D7" s="111"/>
      <c r="E7" s="111"/>
      <c r="F7" s="111"/>
      <c r="G7" s="111"/>
      <c r="H7" s="111"/>
      <c r="I7" s="111"/>
      <c r="J7" s="111"/>
      <c r="K7" s="112"/>
    </row>
    <row r="8" spans="1:11" ht="27.6" x14ac:dyDescent="0.3">
      <c r="A8" s="105" t="s">
        <v>7</v>
      </c>
      <c r="B8" s="1">
        <v>1</v>
      </c>
      <c r="C8" s="1" t="s">
        <v>8</v>
      </c>
      <c r="D8" s="1">
        <v>0</v>
      </c>
      <c r="E8" s="62">
        <f>(D8/20)*100</f>
        <v>0</v>
      </c>
      <c r="F8" s="1">
        <v>0</v>
      </c>
      <c r="G8" s="62">
        <f>(F8/20)*100</f>
        <v>0</v>
      </c>
      <c r="H8" s="1">
        <v>3</v>
      </c>
      <c r="I8" s="62">
        <f>(H8/20)*100</f>
        <v>15</v>
      </c>
      <c r="J8" s="1">
        <v>17</v>
      </c>
      <c r="K8" s="67">
        <f>(J8/20)*100</f>
        <v>85</v>
      </c>
    </row>
    <row r="9" spans="1:11" ht="55.2" x14ac:dyDescent="0.3">
      <c r="A9" s="106"/>
      <c r="B9" s="1">
        <v>2</v>
      </c>
      <c r="C9" s="1" t="s">
        <v>9</v>
      </c>
      <c r="D9" s="1">
        <v>0</v>
      </c>
      <c r="E9" s="62">
        <f t="shared" ref="E9:K61" si="0">(D9/20)*100</f>
        <v>0</v>
      </c>
      <c r="F9" s="1">
        <v>1</v>
      </c>
      <c r="G9" s="62">
        <f t="shared" si="0"/>
        <v>5</v>
      </c>
      <c r="H9" s="1">
        <v>3</v>
      </c>
      <c r="I9" s="62">
        <f t="shared" si="0"/>
        <v>15</v>
      </c>
      <c r="J9" s="1">
        <v>16</v>
      </c>
      <c r="K9" s="67">
        <f t="shared" si="0"/>
        <v>80</v>
      </c>
    </row>
    <row r="10" spans="1:11" ht="41.4" x14ac:dyDescent="0.3">
      <c r="A10" s="105" t="s">
        <v>157</v>
      </c>
      <c r="B10" s="1">
        <v>1</v>
      </c>
      <c r="C10" s="1" t="s">
        <v>10</v>
      </c>
      <c r="D10" s="1">
        <v>0</v>
      </c>
      <c r="E10" s="62">
        <f t="shared" si="0"/>
        <v>0</v>
      </c>
      <c r="F10" s="1">
        <v>0</v>
      </c>
      <c r="G10" s="62">
        <f t="shared" si="0"/>
        <v>0</v>
      </c>
      <c r="H10" s="1">
        <v>3</v>
      </c>
      <c r="I10" s="62">
        <f t="shared" si="0"/>
        <v>15</v>
      </c>
      <c r="J10" s="1">
        <v>17</v>
      </c>
      <c r="K10" s="67">
        <f t="shared" si="0"/>
        <v>85</v>
      </c>
    </row>
    <row r="11" spans="1:11" ht="55.2" x14ac:dyDescent="0.3">
      <c r="A11" s="106"/>
      <c r="B11" s="1">
        <v>2</v>
      </c>
      <c r="C11" s="1" t="s">
        <v>11</v>
      </c>
      <c r="D11" s="1">
        <v>0</v>
      </c>
      <c r="E11" s="62">
        <f t="shared" si="0"/>
        <v>0</v>
      </c>
      <c r="F11" s="1">
        <v>3</v>
      </c>
      <c r="G11" s="62">
        <f t="shared" si="0"/>
        <v>15</v>
      </c>
      <c r="H11" s="1">
        <v>7</v>
      </c>
      <c r="I11" s="62">
        <f t="shared" si="0"/>
        <v>35</v>
      </c>
      <c r="J11" s="1">
        <v>10</v>
      </c>
      <c r="K11" s="67">
        <f t="shared" si="0"/>
        <v>50</v>
      </c>
    </row>
    <row r="12" spans="1:11" ht="41.4" x14ac:dyDescent="0.3">
      <c r="A12" s="106"/>
      <c r="B12" s="1">
        <v>3</v>
      </c>
      <c r="C12" s="1" t="s">
        <v>12</v>
      </c>
      <c r="D12" s="1">
        <v>0</v>
      </c>
      <c r="E12" s="62">
        <f t="shared" si="0"/>
        <v>0</v>
      </c>
      <c r="F12" s="1">
        <v>1</v>
      </c>
      <c r="G12" s="62">
        <f t="shared" si="0"/>
        <v>5</v>
      </c>
      <c r="H12" s="1">
        <v>8</v>
      </c>
      <c r="I12" s="62">
        <f t="shared" si="0"/>
        <v>40</v>
      </c>
      <c r="J12" s="1">
        <v>11</v>
      </c>
      <c r="K12" s="67">
        <f t="shared" si="0"/>
        <v>55.000000000000007</v>
      </c>
    </row>
    <row r="13" spans="1:11" ht="55.2" x14ac:dyDescent="0.3">
      <c r="A13" s="106"/>
      <c r="B13" s="1">
        <v>4</v>
      </c>
      <c r="C13" s="1" t="s">
        <v>13</v>
      </c>
      <c r="D13" s="1">
        <v>1</v>
      </c>
      <c r="E13" s="62">
        <f t="shared" si="0"/>
        <v>5</v>
      </c>
      <c r="F13" s="1">
        <v>2</v>
      </c>
      <c r="G13" s="62">
        <f t="shared" si="0"/>
        <v>10</v>
      </c>
      <c r="H13" s="1">
        <v>2</v>
      </c>
      <c r="I13" s="62">
        <f t="shared" si="0"/>
        <v>10</v>
      </c>
      <c r="J13" s="1">
        <v>15</v>
      </c>
      <c r="K13" s="67">
        <f t="shared" si="0"/>
        <v>75</v>
      </c>
    </row>
    <row r="14" spans="1:11" ht="41.4" x14ac:dyDescent="0.3">
      <c r="A14" s="106"/>
      <c r="B14" s="1">
        <v>5</v>
      </c>
      <c r="C14" s="1" t="s">
        <v>14</v>
      </c>
      <c r="D14" s="1">
        <v>0</v>
      </c>
      <c r="E14" s="62">
        <f t="shared" si="0"/>
        <v>0</v>
      </c>
      <c r="F14" s="1">
        <v>1</v>
      </c>
      <c r="G14" s="62">
        <f t="shared" si="0"/>
        <v>5</v>
      </c>
      <c r="H14" s="1">
        <v>3</v>
      </c>
      <c r="I14" s="62">
        <f t="shared" si="0"/>
        <v>15</v>
      </c>
      <c r="J14" s="1">
        <v>16</v>
      </c>
      <c r="K14" s="67">
        <f t="shared" si="0"/>
        <v>80</v>
      </c>
    </row>
    <row r="15" spans="1:11" ht="55.2" x14ac:dyDescent="0.3">
      <c r="A15" s="105" t="s">
        <v>15</v>
      </c>
      <c r="B15" s="1">
        <v>1</v>
      </c>
      <c r="C15" s="1" t="s">
        <v>16</v>
      </c>
      <c r="D15" s="1">
        <v>0</v>
      </c>
      <c r="E15" s="62">
        <f t="shared" si="0"/>
        <v>0</v>
      </c>
      <c r="F15" s="1">
        <v>1</v>
      </c>
      <c r="G15" s="62">
        <f t="shared" si="0"/>
        <v>5</v>
      </c>
      <c r="H15" s="1">
        <v>3</v>
      </c>
      <c r="I15" s="62">
        <f t="shared" si="0"/>
        <v>15</v>
      </c>
      <c r="J15" s="1">
        <v>16</v>
      </c>
      <c r="K15" s="67">
        <f t="shared" si="0"/>
        <v>80</v>
      </c>
    </row>
    <row r="16" spans="1:11" ht="41.4" x14ac:dyDescent="0.3">
      <c r="A16" s="106"/>
      <c r="B16" s="1">
        <v>2</v>
      </c>
      <c r="C16" s="1" t="s">
        <v>17</v>
      </c>
      <c r="D16" s="1">
        <v>0</v>
      </c>
      <c r="E16" s="62">
        <f t="shared" si="0"/>
        <v>0</v>
      </c>
      <c r="F16" s="1">
        <v>0</v>
      </c>
      <c r="G16" s="62">
        <f t="shared" si="0"/>
        <v>0</v>
      </c>
      <c r="H16" s="1">
        <v>1</v>
      </c>
      <c r="I16" s="62">
        <f t="shared" si="0"/>
        <v>5</v>
      </c>
      <c r="J16" s="1">
        <v>19</v>
      </c>
      <c r="K16" s="67">
        <f t="shared" si="0"/>
        <v>95</v>
      </c>
    </row>
    <row r="17" spans="1:11" ht="69" x14ac:dyDescent="0.3">
      <c r="A17" s="106"/>
      <c r="B17" s="1">
        <v>3</v>
      </c>
      <c r="C17" s="1" t="s">
        <v>18</v>
      </c>
      <c r="D17" s="1">
        <v>0</v>
      </c>
      <c r="E17" s="62">
        <f t="shared" si="0"/>
        <v>0</v>
      </c>
      <c r="F17" s="1">
        <v>0</v>
      </c>
      <c r="G17" s="62">
        <f t="shared" si="0"/>
        <v>0</v>
      </c>
      <c r="H17" s="1">
        <v>2</v>
      </c>
      <c r="I17" s="62">
        <f t="shared" si="0"/>
        <v>10</v>
      </c>
      <c r="J17" s="1">
        <v>18</v>
      </c>
      <c r="K17" s="67">
        <f t="shared" si="0"/>
        <v>90</v>
      </c>
    </row>
    <row r="18" spans="1:11" ht="55.2" x14ac:dyDescent="0.3">
      <c r="A18" s="106"/>
      <c r="B18" s="1">
        <v>4</v>
      </c>
      <c r="C18" s="1" t="s">
        <v>19</v>
      </c>
      <c r="D18" s="1">
        <v>0</v>
      </c>
      <c r="E18" s="62">
        <f t="shared" si="0"/>
        <v>0</v>
      </c>
      <c r="F18" s="1">
        <v>0</v>
      </c>
      <c r="G18" s="62">
        <f t="shared" si="0"/>
        <v>0</v>
      </c>
      <c r="H18" s="1">
        <v>4</v>
      </c>
      <c r="I18" s="62">
        <f t="shared" si="0"/>
        <v>20</v>
      </c>
      <c r="J18" s="1">
        <v>16</v>
      </c>
      <c r="K18" s="67">
        <f t="shared" si="0"/>
        <v>80</v>
      </c>
    </row>
    <row r="19" spans="1:11" ht="41.4" x14ac:dyDescent="0.3">
      <c r="A19" s="113" t="s">
        <v>159</v>
      </c>
      <c r="B19" s="1">
        <v>1</v>
      </c>
      <c r="C19" s="1" t="s">
        <v>20</v>
      </c>
      <c r="D19" s="1">
        <v>0</v>
      </c>
      <c r="E19" s="62">
        <f t="shared" si="0"/>
        <v>0</v>
      </c>
      <c r="F19" s="1">
        <v>0</v>
      </c>
      <c r="G19" s="62">
        <f t="shared" si="0"/>
        <v>0</v>
      </c>
      <c r="H19" s="1">
        <v>8</v>
      </c>
      <c r="I19" s="62">
        <f t="shared" si="0"/>
        <v>40</v>
      </c>
      <c r="J19" s="1">
        <v>12</v>
      </c>
      <c r="K19" s="67">
        <f t="shared" si="0"/>
        <v>60</v>
      </c>
    </row>
    <row r="20" spans="1:11" ht="55.2" x14ac:dyDescent="0.3">
      <c r="A20" s="114"/>
      <c r="B20" s="1">
        <v>2</v>
      </c>
      <c r="C20" s="1" t="s">
        <v>21</v>
      </c>
      <c r="D20" s="1">
        <v>0</v>
      </c>
      <c r="E20" s="62">
        <f t="shared" si="0"/>
        <v>0</v>
      </c>
      <c r="F20" s="1">
        <v>1</v>
      </c>
      <c r="G20" s="62">
        <f t="shared" si="0"/>
        <v>5</v>
      </c>
      <c r="H20" s="1">
        <v>15</v>
      </c>
      <c r="I20" s="62">
        <f t="shared" si="0"/>
        <v>75</v>
      </c>
      <c r="J20" s="1">
        <v>4</v>
      </c>
      <c r="K20" s="67">
        <f t="shared" si="0"/>
        <v>20</v>
      </c>
    </row>
    <row r="21" spans="1:11" ht="165.6" x14ac:dyDescent="0.3">
      <c r="A21" s="114"/>
      <c r="B21" s="1">
        <v>3</v>
      </c>
      <c r="C21" s="1" t="s">
        <v>22</v>
      </c>
      <c r="D21" s="1">
        <v>0</v>
      </c>
      <c r="E21" s="62">
        <f t="shared" si="0"/>
        <v>0</v>
      </c>
      <c r="F21" s="1">
        <v>2</v>
      </c>
      <c r="G21" s="62">
        <f t="shared" si="0"/>
        <v>10</v>
      </c>
      <c r="H21" s="1">
        <v>8</v>
      </c>
      <c r="I21" s="62">
        <f t="shared" si="0"/>
        <v>40</v>
      </c>
      <c r="J21" s="1">
        <v>10</v>
      </c>
      <c r="K21" s="67">
        <f t="shared" si="0"/>
        <v>50</v>
      </c>
    </row>
    <row r="22" spans="1:11" ht="69" x14ac:dyDescent="0.3">
      <c r="A22" s="114"/>
      <c r="B22" s="1">
        <v>4</v>
      </c>
      <c r="C22" s="1" t="s">
        <v>23</v>
      </c>
      <c r="D22" s="1">
        <v>0</v>
      </c>
      <c r="E22" s="62">
        <f t="shared" si="0"/>
        <v>0</v>
      </c>
      <c r="F22" s="1">
        <v>3</v>
      </c>
      <c r="G22" s="62">
        <f t="shared" si="0"/>
        <v>15</v>
      </c>
      <c r="H22" s="1">
        <v>6</v>
      </c>
      <c r="I22" s="62">
        <f t="shared" si="0"/>
        <v>30</v>
      </c>
      <c r="J22" s="1">
        <v>11</v>
      </c>
      <c r="K22" s="67">
        <f t="shared" si="0"/>
        <v>55.000000000000007</v>
      </c>
    </row>
    <row r="23" spans="1:11" ht="82.8" x14ac:dyDescent="0.3">
      <c r="A23" s="114"/>
      <c r="B23" s="1">
        <v>5</v>
      </c>
      <c r="C23" s="1" t="s">
        <v>24</v>
      </c>
      <c r="D23" s="1">
        <v>0</v>
      </c>
      <c r="E23" s="62">
        <f t="shared" si="0"/>
        <v>0</v>
      </c>
      <c r="F23" s="1">
        <v>2</v>
      </c>
      <c r="G23" s="62">
        <f t="shared" si="0"/>
        <v>10</v>
      </c>
      <c r="H23" s="1">
        <v>10</v>
      </c>
      <c r="I23" s="62">
        <f t="shared" si="0"/>
        <v>50</v>
      </c>
      <c r="J23" s="1">
        <v>8</v>
      </c>
      <c r="K23" s="67">
        <f t="shared" si="0"/>
        <v>40</v>
      </c>
    </row>
    <row r="24" spans="1:11" ht="41.4" x14ac:dyDescent="0.3">
      <c r="A24" s="114"/>
      <c r="B24" s="1">
        <v>6</v>
      </c>
      <c r="C24" s="1" t="s">
        <v>25</v>
      </c>
      <c r="D24" s="1">
        <v>0</v>
      </c>
      <c r="E24" s="62">
        <f t="shared" si="0"/>
        <v>0</v>
      </c>
      <c r="F24" s="1">
        <v>1</v>
      </c>
      <c r="G24" s="62">
        <f t="shared" si="0"/>
        <v>5</v>
      </c>
      <c r="H24" s="1">
        <v>9</v>
      </c>
      <c r="I24" s="62">
        <f t="shared" si="0"/>
        <v>45</v>
      </c>
      <c r="J24" s="1">
        <v>10</v>
      </c>
      <c r="K24" s="67">
        <f t="shared" si="0"/>
        <v>50</v>
      </c>
    </row>
    <row r="25" spans="1:11" ht="55.2" x14ac:dyDescent="0.3">
      <c r="A25" s="105" t="s">
        <v>26</v>
      </c>
      <c r="B25" s="1">
        <v>1</v>
      </c>
      <c r="C25" s="60" t="s">
        <v>27</v>
      </c>
      <c r="D25" s="1">
        <v>0</v>
      </c>
      <c r="E25" s="62">
        <f t="shared" si="0"/>
        <v>0</v>
      </c>
      <c r="F25" s="1">
        <v>1</v>
      </c>
      <c r="G25" s="62">
        <f t="shared" si="0"/>
        <v>5</v>
      </c>
      <c r="H25" s="1">
        <v>9</v>
      </c>
      <c r="I25" s="62">
        <f t="shared" si="0"/>
        <v>45</v>
      </c>
      <c r="J25" s="1">
        <v>10</v>
      </c>
      <c r="K25" s="67">
        <f t="shared" si="0"/>
        <v>50</v>
      </c>
    </row>
    <row r="26" spans="1:11" ht="55.2" x14ac:dyDescent="0.3">
      <c r="A26" s="106"/>
      <c r="B26" s="1">
        <v>2</v>
      </c>
      <c r="C26" s="1" t="s">
        <v>28</v>
      </c>
      <c r="D26" s="1">
        <v>0</v>
      </c>
      <c r="E26" s="62">
        <f t="shared" si="0"/>
        <v>0</v>
      </c>
      <c r="F26" s="1">
        <v>3</v>
      </c>
      <c r="G26" s="62">
        <f t="shared" si="0"/>
        <v>15</v>
      </c>
      <c r="H26" s="1">
        <v>7</v>
      </c>
      <c r="I26" s="62">
        <f t="shared" si="0"/>
        <v>35</v>
      </c>
      <c r="J26" s="1">
        <v>10</v>
      </c>
      <c r="K26" s="67">
        <f t="shared" si="0"/>
        <v>50</v>
      </c>
    </row>
    <row r="27" spans="1:11" ht="82.8" x14ac:dyDescent="0.3">
      <c r="A27" s="106"/>
      <c r="B27" s="1">
        <v>3</v>
      </c>
      <c r="C27" s="1" t="s">
        <v>29</v>
      </c>
      <c r="D27" s="1">
        <v>0</v>
      </c>
      <c r="E27" s="62">
        <f t="shared" si="0"/>
        <v>0</v>
      </c>
      <c r="F27" s="1">
        <v>0</v>
      </c>
      <c r="G27" s="62">
        <f t="shared" si="0"/>
        <v>0</v>
      </c>
      <c r="H27" s="1">
        <v>3</v>
      </c>
      <c r="I27" s="62">
        <f t="shared" si="0"/>
        <v>15</v>
      </c>
      <c r="J27" s="1">
        <v>17</v>
      </c>
      <c r="K27" s="67">
        <f t="shared" si="0"/>
        <v>85</v>
      </c>
    </row>
    <row r="28" spans="1:11" ht="69" x14ac:dyDescent="0.3">
      <c r="A28" s="106"/>
      <c r="B28" s="1">
        <v>4</v>
      </c>
      <c r="C28" s="1" t="s">
        <v>30</v>
      </c>
      <c r="D28" s="1">
        <v>0</v>
      </c>
      <c r="E28" s="62">
        <f t="shared" si="0"/>
        <v>0</v>
      </c>
      <c r="F28" s="1">
        <v>2</v>
      </c>
      <c r="G28" s="62">
        <f t="shared" si="0"/>
        <v>10</v>
      </c>
      <c r="H28" s="1">
        <v>3</v>
      </c>
      <c r="I28" s="62">
        <f t="shared" si="0"/>
        <v>15</v>
      </c>
      <c r="J28" s="1">
        <v>15</v>
      </c>
      <c r="K28" s="67">
        <f t="shared" si="0"/>
        <v>75</v>
      </c>
    </row>
    <row r="29" spans="1:11" ht="151.80000000000001" x14ac:dyDescent="0.3">
      <c r="A29" s="106"/>
      <c r="B29" s="1">
        <v>5</v>
      </c>
      <c r="C29" s="1" t="s">
        <v>31</v>
      </c>
      <c r="D29" s="1">
        <v>0</v>
      </c>
      <c r="E29" s="62">
        <f t="shared" si="0"/>
        <v>0</v>
      </c>
      <c r="F29" s="1">
        <v>1</v>
      </c>
      <c r="G29" s="62">
        <f t="shared" si="0"/>
        <v>5</v>
      </c>
      <c r="H29" s="1">
        <v>5</v>
      </c>
      <c r="I29" s="62">
        <f t="shared" si="0"/>
        <v>25</v>
      </c>
      <c r="J29" s="1">
        <v>14</v>
      </c>
      <c r="K29" s="67">
        <f t="shared" si="0"/>
        <v>70</v>
      </c>
    </row>
    <row r="30" spans="1:11" ht="82.8" x14ac:dyDescent="0.3">
      <c r="A30" s="106"/>
      <c r="B30" s="1">
        <v>6</v>
      </c>
      <c r="C30" s="1" t="s">
        <v>32</v>
      </c>
      <c r="D30" s="1">
        <v>0</v>
      </c>
      <c r="E30" s="62">
        <f t="shared" si="0"/>
        <v>0</v>
      </c>
      <c r="F30" s="1">
        <v>0</v>
      </c>
      <c r="G30" s="62">
        <f t="shared" si="0"/>
        <v>0</v>
      </c>
      <c r="H30" s="1">
        <v>7</v>
      </c>
      <c r="I30" s="62">
        <f t="shared" si="0"/>
        <v>35</v>
      </c>
      <c r="J30" s="1">
        <v>13</v>
      </c>
      <c r="K30" s="67">
        <f t="shared" si="0"/>
        <v>65</v>
      </c>
    </row>
    <row r="31" spans="1:11" ht="96.6" x14ac:dyDescent="0.3">
      <c r="A31" s="105" t="s">
        <v>33</v>
      </c>
      <c r="B31" s="1">
        <v>1</v>
      </c>
      <c r="C31" s="1" t="s">
        <v>34</v>
      </c>
      <c r="D31" s="1">
        <v>0</v>
      </c>
      <c r="E31" s="62">
        <f t="shared" si="0"/>
        <v>0</v>
      </c>
      <c r="F31" s="1">
        <v>3</v>
      </c>
      <c r="G31" s="62">
        <f t="shared" si="0"/>
        <v>15</v>
      </c>
      <c r="H31" s="1">
        <v>7</v>
      </c>
      <c r="I31" s="62">
        <f t="shared" si="0"/>
        <v>35</v>
      </c>
      <c r="J31" s="1">
        <v>10</v>
      </c>
      <c r="K31" s="67">
        <f t="shared" si="0"/>
        <v>50</v>
      </c>
    </row>
    <row r="32" spans="1:11" ht="69" x14ac:dyDescent="0.3">
      <c r="A32" s="106"/>
      <c r="B32" s="1">
        <v>2</v>
      </c>
      <c r="C32" s="1" t="s">
        <v>35</v>
      </c>
      <c r="D32" s="1">
        <v>2</v>
      </c>
      <c r="E32" s="62">
        <f t="shared" si="0"/>
        <v>10</v>
      </c>
      <c r="F32" s="1">
        <v>7</v>
      </c>
      <c r="G32" s="62">
        <f t="shared" si="0"/>
        <v>35</v>
      </c>
      <c r="H32" s="1">
        <v>5</v>
      </c>
      <c r="I32" s="62">
        <f t="shared" si="0"/>
        <v>25</v>
      </c>
      <c r="J32" s="1">
        <v>6</v>
      </c>
      <c r="K32" s="67">
        <f t="shared" si="0"/>
        <v>30</v>
      </c>
    </row>
    <row r="33" spans="1:11" ht="82.8" x14ac:dyDescent="0.3">
      <c r="A33" s="106"/>
      <c r="B33" s="1">
        <v>3</v>
      </c>
      <c r="C33" s="1" t="s">
        <v>36</v>
      </c>
      <c r="D33" s="1">
        <v>0</v>
      </c>
      <c r="E33" s="62">
        <f t="shared" si="0"/>
        <v>0</v>
      </c>
      <c r="F33" s="1">
        <v>7</v>
      </c>
      <c r="G33" s="62">
        <f t="shared" si="0"/>
        <v>35</v>
      </c>
      <c r="H33" s="1">
        <v>4</v>
      </c>
      <c r="I33" s="62">
        <f t="shared" si="0"/>
        <v>20</v>
      </c>
      <c r="J33" s="1">
        <v>9</v>
      </c>
      <c r="K33" s="67">
        <f t="shared" si="0"/>
        <v>45</v>
      </c>
    </row>
    <row r="34" spans="1:11" ht="82.8" x14ac:dyDescent="0.3">
      <c r="A34" s="106"/>
      <c r="B34" s="1">
        <v>4</v>
      </c>
      <c r="C34" s="1" t="s">
        <v>37</v>
      </c>
      <c r="D34" s="1">
        <v>0</v>
      </c>
      <c r="E34" s="62">
        <f t="shared" si="0"/>
        <v>0</v>
      </c>
      <c r="F34" s="1">
        <v>1</v>
      </c>
      <c r="G34" s="62">
        <f t="shared" si="0"/>
        <v>5</v>
      </c>
      <c r="H34" s="1">
        <v>14</v>
      </c>
      <c r="I34" s="62">
        <f t="shared" si="0"/>
        <v>70</v>
      </c>
      <c r="J34" s="1">
        <v>5</v>
      </c>
      <c r="K34" s="67">
        <f t="shared" si="0"/>
        <v>25</v>
      </c>
    </row>
    <row r="35" spans="1:11" ht="96.6" x14ac:dyDescent="0.3">
      <c r="A35" s="106"/>
      <c r="B35" s="1">
        <v>5</v>
      </c>
      <c r="C35" s="1" t="s">
        <v>38</v>
      </c>
      <c r="D35" s="1">
        <v>1</v>
      </c>
      <c r="E35" s="62">
        <f t="shared" si="0"/>
        <v>5</v>
      </c>
      <c r="F35" s="1">
        <v>5</v>
      </c>
      <c r="G35" s="62">
        <f t="shared" si="0"/>
        <v>25</v>
      </c>
      <c r="H35" s="1">
        <v>3</v>
      </c>
      <c r="I35" s="62">
        <f t="shared" si="0"/>
        <v>15</v>
      </c>
      <c r="J35" s="1">
        <v>11</v>
      </c>
      <c r="K35" s="67">
        <f t="shared" si="0"/>
        <v>55.000000000000007</v>
      </c>
    </row>
    <row r="36" spans="1:11" x14ac:dyDescent="0.3">
      <c r="A36" s="110" t="s">
        <v>140</v>
      </c>
      <c r="B36" s="111"/>
      <c r="C36" s="111"/>
      <c r="D36" s="111"/>
      <c r="E36" s="111"/>
      <c r="F36" s="111"/>
      <c r="G36" s="111"/>
      <c r="H36" s="111"/>
      <c r="I36" s="111"/>
      <c r="J36" s="111"/>
      <c r="K36" s="112"/>
    </row>
    <row r="37" spans="1:11" ht="55.2" x14ac:dyDescent="0.3">
      <c r="A37" s="105" t="s">
        <v>7</v>
      </c>
      <c r="B37" s="1">
        <v>1</v>
      </c>
      <c r="C37" s="1" t="s">
        <v>39</v>
      </c>
      <c r="D37" s="1">
        <v>0</v>
      </c>
      <c r="E37" s="62">
        <f t="shared" si="0"/>
        <v>0</v>
      </c>
      <c r="F37" s="1">
        <v>3</v>
      </c>
      <c r="G37" s="62">
        <f t="shared" si="0"/>
        <v>15</v>
      </c>
      <c r="H37" s="1">
        <v>15</v>
      </c>
      <c r="I37" s="62">
        <f t="shared" si="0"/>
        <v>75</v>
      </c>
      <c r="J37" s="1">
        <v>2</v>
      </c>
      <c r="K37" s="67">
        <f t="shared" si="0"/>
        <v>10</v>
      </c>
    </row>
    <row r="38" spans="1:11" ht="82.8" x14ac:dyDescent="0.3">
      <c r="A38" s="106"/>
      <c r="B38" s="1">
        <v>2</v>
      </c>
      <c r="C38" s="1" t="s">
        <v>40</v>
      </c>
      <c r="D38" s="1">
        <v>0</v>
      </c>
      <c r="E38" s="62">
        <f t="shared" si="0"/>
        <v>0</v>
      </c>
      <c r="F38" s="1">
        <v>3</v>
      </c>
      <c r="G38" s="62">
        <f t="shared" si="0"/>
        <v>15</v>
      </c>
      <c r="H38" s="1">
        <v>0</v>
      </c>
      <c r="I38" s="62">
        <f t="shared" si="0"/>
        <v>0</v>
      </c>
      <c r="J38" s="1">
        <v>17</v>
      </c>
      <c r="K38" s="67">
        <f t="shared" si="0"/>
        <v>85</v>
      </c>
    </row>
    <row r="39" spans="1:11" ht="41.4" x14ac:dyDescent="0.3">
      <c r="A39" s="105" t="s">
        <v>157</v>
      </c>
      <c r="B39" s="1">
        <v>1</v>
      </c>
      <c r="C39" s="1" t="s">
        <v>41</v>
      </c>
      <c r="D39" s="1">
        <v>0</v>
      </c>
      <c r="E39" s="62">
        <f t="shared" si="0"/>
        <v>0</v>
      </c>
      <c r="F39" s="1">
        <v>2</v>
      </c>
      <c r="G39" s="62">
        <f t="shared" si="0"/>
        <v>10</v>
      </c>
      <c r="H39" s="1">
        <v>2</v>
      </c>
      <c r="I39" s="62">
        <f t="shared" si="0"/>
        <v>10</v>
      </c>
      <c r="J39" s="1">
        <v>16</v>
      </c>
      <c r="K39" s="67">
        <f t="shared" si="0"/>
        <v>80</v>
      </c>
    </row>
    <row r="40" spans="1:11" ht="41.4" x14ac:dyDescent="0.3">
      <c r="A40" s="106"/>
      <c r="B40" s="1">
        <v>2</v>
      </c>
      <c r="C40" s="1" t="s">
        <v>42</v>
      </c>
      <c r="D40" s="1">
        <v>0</v>
      </c>
      <c r="E40" s="62">
        <f t="shared" si="0"/>
        <v>0</v>
      </c>
      <c r="F40" s="1">
        <v>5</v>
      </c>
      <c r="G40" s="62">
        <f t="shared" si="0"/>
        <v>25</v>
      </c>
      <c r="H40" s="1">
        <v>3</v>
      </c>
      <c r="I40" s="62">
        <f t="shared" si="0"/>
        <v>15</v>
      </c>
      <c r="J40" s="1">
        <v>15</v>
      </c>
      <c r="K40" s="67">
        <f t="shared" si="0"/>
        <v>75</v>
      </c>
    </row>
    <row r="41" spans="1:11" ht="69" x14ac:dyDescent="0.3">
      <c r="A41" s="106"/>
      <c r="B41" s="1">
        <v>3</v>
      </c>
      <c r="C41" s="1" t="s">
        <v>43</v>
      </c>
      <c r="D41" s="1">
        <v>1</v>
      </c>
      <c r="E41" s="62">
        <f t="shared" si="0"/>
        <v>5</v>
      </c>
      <c r="F41" s="1">
        <v>6</v>
      </c>
      <c r="G41" s="62">
        <f t="shared" si="0"/>
        <v>30</v>
      </c>
      <c r="H41" s="1">
        <v>12</v>
      </c>
      <c r="I41" s="62">
        <f t="shared" si="0"/>
        <v>60</v>
      </c>
      <c r="J41" s="1">
        <v>1</v>
      </c>
      <c r="K41" s="67">
        <f t="shared" si="0"/>
        <v>5</v>
      </c>
    </row>
    <row r="42" spans="1:11" ht="69" x14ac:dyDescent="0.3">
      <c r="A42" s="106"/>
      <c r="B42" s="1">
        <v>4</v>
      </c>
      <c r="C42" s="1" t="s">
        <v>44</v>
      </c>
      <c r="D42" s="1">
        <v>0</v>
      </c>
      <c r="E42" s="62">
        <f t="shared" si="0"/>
        <v>0</v>
      </c>
      <c r="F42" s="1">
        <v>10</v>
      </c>
      <c r="G42" s="62">
        <f t="shared" si="0"/>
        <v>50</v>
      </c>
      <c r="H42" s="1">
        <v>7</v>
      </c>
      <c r="I42" s="62">
        <f t="shared" si="0"/>
        <v>35</v>
      </c>
      <c r="J42" s="1">
        <v>3</v>
      </c>
      <c r="K42" s="67">
        <f t="shared" si="0"/>
        <v>15</v>
      </c>
    </row>
    <row r="43" spans="1:11" ht="82.8" x14ac:dyDescent="0.3">
      <c r="A43" s="105" t="s">
        <v>15</v>
      </c>
      <c r="B43" s="1">
        <v>1</v>
      </c>
      <c r="C43" s="1" t="s">
        <v>45</v>
      </c>
      <c r="D43" s="1">
        <v>0</v>
      </c>
      <c r="E43" s="62">
        <f t="shared" si="0"/>
        <v>0</v>
      </c>
      <c r="F43" s="1">
        <v>3</v>
      </c>
      <c r="G43" s="62">
        <f t="shared" si="0"/>
        <v>15</v>
      </c>
      <c r="H43" s="1">
        <v>12</v>
      </c>
      <c r="I43" s="62">
        <f t="shared" si="0"/>
        <v>60</v>
      </c>
      <c r="J43" s="1">
        <v>5</v>
      </c>
      <c r="K43" s="67">
        <f t="shared" si="0"/>
        <v>25</v>
      </c>
    </row>
    <row r="44" spans="1:11" ht="69" x14ac:dyDescent="0.3">
      <c r="A44" s="106"/>
      <c r="B44" s="1">
        <v>2</v>
      </c>
      <c r="C44" s="1" t="s">
        <v>46</v>
      </c>
      <c r="D44" s="1">
        <v>0</v>
      </c>
      <c r="E44" s="62">
        <f t="shared" si="0"/>
        <v>0</v>
      </c>
      <c r="F44" s="1">
        <v>0</v>
      </c>
      <c r="G44" s="62">
        <f t="shared" si="0"/>
        <v>0</v>
      </c>
      <c r="H44" s="1">
        <v>5</v>
      </c>
      <c r="I44" s="62">
        <f t="shared" si="0"/>
        <v>25</v>
      </c>
      <c r="J44" s="1">
        <v>15</v>
      </c>
      <c r="K44" s="67">
        <f t="shared" si="0"/>
        <v>75</v>
      </c>
    </row>
    <row r="45" spans="1:11" ht="110.4" x14ac:dyDescent="0.3">
      <c r="A45" s="113" t="s">
        <v>159</v>
      </c>
      <c r="B45" s="1">
        <v>1</v>
      </c>
      <c r="C45" s="1" t="s">
        <v>47</v>
      </c>
      <c r="D45" s="1">
        <v>0</v>
      </c>
      <c r="E45" s="62">
        <f t="shared" si="0"/>
        <v>0</v>
      </c>
      <c r="F45" s="1">
        <v>1</v>
      </c>
      <c r="G45" s="62">
        <f t="shared" si="0"/>
        <v>5</v>
      </c>
      <c r="H45" s="1">
        <v>2</v>
      </c>
      <c r="I45" s="62">
        <f t="shared" si="0"/>
        <v>10</v>
      </c>
      <c r="J45" s="1">
        <v>17</v>
      </c>
      <c r="K45" s="67">
        <f t="shared" si="0"/>
        <v>85</v>
      </c>
    </row>
    <row r="46" spans="1:11" ht="41.4" x14ac:dyDescent="0.3">
      <c r="A46" s="114"/>
      <c r="B46" s="1">
        <v>2</v>
      </c>
      <c r="C46" s="1" t="s">
        <v>48</v>
      </c>
      <c r="D46" s="1">
        <v>0</v>
      </c>
      <c r="E46" s="62">
        <f t="shared" si="0"/>
        <v>0</v>
      </c>
      <c r="F46" s="1">
        <v>5</v>
      </c>
      <c r="G46" s="62">
        <f t="shared" si="0"/>
        <v>25</v>
      </c>
      <c r="H46" s="1">
        <v>7</v>
      </c>
      <c r="I46" s="62">
        <f t="shared" si="0"/>
        <v>35</v>
      </c>
      <c r="J46" s="1">
        <v>8</v>
      </c>
      <c r="K46" s="67">
        <f t="shared" si="0"/>
        <v>40</v>
      </c>
    </row>
    <row r="47" spans="1:11" ht="41.4" x14ac:dyDescent="0.3">
      <c r="A47" s="114"/>
      <c r="B47" s="1">
        <v>3</v>
      </c>
      <c r="C47" s="1" t="s">
        <v>49</v>
      </c>
      <c r="D47" s="1">
        <v>0</v>
      </c>
      <c r="E47" s="62">
        <f t="shared" si="0"/>
        <v>0</v>
      </c>
      <c r="F47" s="1">
        <v>3</v>
      </c>
      <c r="G47" s="62">
        <f t="shared" si="0"/>
        <v>15</v>
      </c>
      <c r="H47" s="1">
        <v>6</v>
      </c>
      <c r="I47" s="62">
        <f t="shared" si="0"/>
        <v>30</v>
      </c>
      <c r="J47" s="1">
        <v>11</v>
      </c>
      <c r="K47" s="67">
        <f t="shared" si="0"/>
        <v>55.000000000000007</v>
      </c>
    </row>
    <row r="48" spans="1:11" ht="96.6" x14ac:dyDescent="0.3">
      <c r="A48" s="114"/>
      <c r="B48" s="1">
        <v>4</v>
      </c>
      <c r="C48" s="1" t="s">
        <v>50</v>
      </c>
      <c r="D48" s="1">
        <v>0</v>
      </c>
      <c r="E48" s="62">
        <f t="shared" si="0"/>
        <v>0</v>
      </c>
      <c r="F48" s="1">
        <v>2</v>
      </c>
      <c r="G48" s="62">
        <f t="shared" si="0"/>
        <v>10</v>
      </c>
      <c r="H48" s="1">
        <v>3</v>
      </c>
      <c r="I48" s="62">
        <f t="shared" si="0"/>
        <v>15</v>
      </c>
      <c r="J48" s="1">
        <v>15</v>
      </c>
      <c r="K48" s="67">
        <f t="shared" si="0"/>
        <v>75</v>
      </c>
    </row>
    <row r="49" spans="1:11" ht="96.6" x14ac:dyDescent="0.3">
      <c r="A49" s="105" t="s">
        <v>26</v>
      </c>
      <c r="B49" s="1">
        <v>1</v>
      </c>
      <c r="C49" s="1" t="s">
        <v>51</v>
      </c>
      <c r="D49" s="1">
        <v>0</v>
      </c>
      <c r="E49" s="62">
        <f t="shared" si="0"/>
        <v>0</v>
      </c>
      <c r="F49" s="1">
        <v>4</v>
      </c>
      <c r="G49" s="62">
        <f t="shared" si="0"/>
        <v>20</v>
      </c>
      <c r="H49" s="1">
        <v>4</v>
      </c>
      <c r="I49" s="62">
        <f t="shared" si="0"/>
        <v>20</v>
      </c>
      <c r="J49" s="1">
        <v>12</v>
      </c>
      <c r="K49" s="67">
        <f t="shared" si="0"/>
        <v>60</v>
      </c>
    </row>
    <row r="50" spans="1:11" ht="82.8" x14ac:dyDescent="0.3">
      <c r="A50" s="106"/>
      <c r="B50" s="1">
        <v>2</v>
      </c>
      <c r="C50" s="1" t="s">
        <v>52</v>
      </c>
      <c r="D50" s="1">
        <v>1</v>
      </c>
      <c r="E50" s="62">
        <f t="shared" si="0"/>
        <v>5</v>
      </c>
      <c r="F50" s="1">
        <v>3</v>
      </c>
      <c r="G50" s="62">
        <f t="shared" si="0"/>
        <v>15</v>
      </c>
      <c r="H50" s="1">
        <v>2</v>
      </c>
      <c r="I50" s="62">
        <f t="shared" si="0"/>
        <v>10</v>
      </c>
      <c r="J50" s="1">
        <v>14</v>
      </c>
      <c r="K50" s="67">
        <f t="shared" si="0"/>
        <v>70</v>
      </c>
    </row>
    <row r="51" spans="1:11" ht="69" x14ac:dyDescent="0.3">
      <c r="A51" s="106"/>
      <c r="B51" s="1">
        <v>3</v>
      </c>
      <c r="C51" s="1" t="s">
        <v>53</v>
      </c>
      <c r="D51" s="1">
        <v>0</v>
      </c>
      <c r="E51" s="62">
        <f t="shared" si="0"/>
        <v>0</v>
      </c>
      <c r="F51" s="1">
        <v>1</v>
      </c>
      <c r="G51" s="62">
        <f t="shared" si="0"/>
        <v>5</v>
      </c>
      <c r="H51" s="1">
        <v>0</v>
      </c>
      <c r="I51" s="62">
        <f t="shared" si="0"/>
        <v>0</v>
      </c>
      <c r="J51" s="1">
        <v>19</v>
      </c>
      <c r="K51" s="67">
        <f t="shared" si="0"/>
        <v>95</v>
      </c>
    </row>
    <row r="52" spans="1:11" ht="27.6" x14ac:dyDescent="0.3">
      <c r="A52" s="106"/>
      <c r="B52" s="1">
        <v>4</v>
      </c>
      <c r="C52" s="1" t="s">
        <v>54</v>
      </c>
      <c r="D52" s="1">
        <v>0</v>
      </c>
      <c r="E52" s="62">
        <f t="shared" si="0"/>
        <v>0</v>
      </c>
      <c r="F52" s="1">
        <v>2</v>
      </c>
      <c r="G52" s="62">
        <f t="shared" si="0"/>
        <v>10</v>
      </c>
      <c r="H52" s="1">
        <v>1</v>
      </c>
      <c r="I52" s="62">
        <f t="shared" si="0"/>
        <v>5</v>
      </c>
      <c r="J52" s="1">
        <v>17</v>
      </c>
      <c r="K52" s="67">
        <f t="shared" si="0"/>
        <v>85</v>
      </c>
    </row>
    <row r="53" spans="1:11" ht="55.2" x14ac:dyDescent="0.3">
      <c r="A53" s="106"/>
      <c r="B53" s="1">
        <v>5</v>
      </c>
      <c r="C53" s="1" t="s">
        <v>55</v>
      </c>
      <c r="D53" s="1">
        <v>0</v>
      </c>
      <c r="E53" s="62">
        <f t="shared" si="0"/>
        <v>0</v>
      </c>
      <c r="F53" s="1">
        <v>3</v>
      </c>
      <c r="G53" s="62">
        <f t="shared" si="0"/>
        <v>15</v>
      </c>
      <c r="H53" s="1">
        <v>12</v>
      </c>
      <c r="I53" s="62">
        <f t="shared" si="0"/>
        <v>60</v>
      </c>
      <c r="J53" s="1">
        <v>5</v>
      </c>
      <c r="K53" s="67">
        <f t="shared" si="0"/>
        <v>25</v>
      </c>
    </row>
    <row r="54" spans="1:11" ht="27.6" x14ac:dyDescent="0.3">
      <c r="A54" s="106"/>
      <c r="B54" s="1">
        <v>6</v>
      </c>
      <c r="C54" s="1" t="s">
        <v>56</v>
      </c>
      <c r="D54" s="1">
        <v>0</v>
      </c>
      <c r="E54" s="62">
        <f t="shared" si="0"/>
        <v>0</v>
      </c>
      <c r="F54" s="1">
        <v>2</v>
      </c>
      <c r="G54" s="62">
        <f t="shared" si="0"/>
        <v>10</v>
      </c>
      <c r="H54" s="1">
        <v>5</v>
      </c>
      <c r="I54" s="62">
        <f t="shared" si="0"/>
        <v>25</v>
      </c>
      <c r="J54" s="1">
        <v>13</v>
      </c>
      <c r="K54" s="67">
        <f t="shared" si="0"/>
        <v>65</v>
      </c>
    </row>
    <row r="55" spans="1:11" ht="124.2" x14ac:dyDescent="0.3">
      <c r="A55" s="106"/>
      <c r="B55" s="1">
        <v>7</v>
      </c>
      <c r="C55" s="1" t="s">
        <v>57</v>
      </c>
      <c r="D55" s="1">
        <v>0</v>
      </c>
      <c r="E55" s="62">
        <f t="shared" si="0"/>
        <v>0</v>
      </c>
      <c r="F55" s="1">
        <v>0</v>
      </c>
      <c r="G55" s="62">
        <f t="shared" si="0"/>
        <v>0</v>
      </c>
      <c r="H55" s="1">
        <v>6</v>
      </c>
      <c r="I55" s="62">
        <f t="shared" si="0"/>
        <v>30</v>
      </c>
      <c r="J55" s="1">
        <v>14</v>
      </c>
      <c r="K55" s="67">
        <f t="shared" si="0"/>
        <v>70</v>
      </c>
    </row>
    <row r="56" spans="1:11" ht="55.2" x14ac:dyDescent="0.3">
      <c r="A56" s="106"/>
      <c r="B56" s="1">
        <v>8</v>
      </c>
      <c r="C56" s="1" t="s">
        <v>58</v>
      </c>
      <c r="D56" s="1">
        <v>0</v>
      </c>
      <c r="E56" s="62">
        <f t="shared" si="0"/>
        <v>0</v>
      </c>
      <c r="F56" s="1">
        <v>5</v>
      </c>
      <c r="G56" s="62">
        <f t="shared" si="0"/>
        <v>25</v>
      </c>
      <c r="H56" s="1">
        <v>12</v>
      </c>
      <c r="I56" s="62">
        <f t="shared" si="0"/>
        <v>60</v>
      </c>
      <c r="J56" s="1">
        <v>3</v>
      </c>
      <c r="K56" s="67">
        <f t="shared" si="0"/>
        <v>15</v>
      </c>
    </row>
    <row r="57" spans="1:11" ht="69" x14ac:dyDescent="0.3">
      <c r="A57" s="106"/>
      <c r="B57" s="1">
        <v>9</v>
      </c>
      <c r="C57" s="1" t="s">
        <v>59</v>
      </c>
      <c r="D57" s="1">
        <v>0</v>
      </c>
      <c r="E57" s="62">
        <f t="shared" si="0"/>
        <v>0</v>
      </c>
      <c r="F57" s="1">
        <v>4</v>
      </c>
      <c r="G57" s="62">
        <f t="shared" si="0"/>
        <v>20</v>
      </c>
      <c r="H57" s="1">
        <v>3</v>
      </c>
      <c r="I57" s="62">
        <f t="shared" si="0"/>
        <v>15</v>
      </c>
      <c r="J57" s="1">
        <v>13</v>
      </c>
      <c r="K57" s="67">
        <f t="shared" si="0"/>
        <v>65</v>
      </c>
    </row>
    <row r="58" spans="1:11" ht="69" x14ac:dyDescent="0.3">
      <c r="A58" s="105" t="s">
        <v>33</v>
      </c>
      <c r="B58" s="1">
        <v>1</v>
      </c>
      <c r="C58" s="1" t="s">
        <v>60</v>
      </c>
      <c r="D58" s="1">
        <v>0</v>
      </c>
      <c r="E58" s="62">
        <f t="shared" si="0"/>
        <v>0</v>
      </c>
      <c r="F58" s="1">
        <v>3</v>
      </c>
      <c r="G58" s="62">
        <f t="shared" si="0"/>
        <v>15</v>
      </c>
      <c r="H58" s="1">
        <v>12</v>
      </c>
      <c r="I58" s="62">
        <f t="shared" si="0"/>
        <v>60</v>
      </c>
      <c r="J58" s="1">
        <v>5</v>
      </c>
      <c r="K58" s="67">
        <f t="shared" si="0"/>
        <v>25</v>
      </c>
    </row>
    <row r="59" spans="1:11" ht="27.6" x14ac:dyDescent="0.3">
      <c r="A59" s="106"/>
      <c r="B59" s="1">
        <v>2</v>
      </c>
      <c r="C59" s="1" t="s">
        <v>61</v>
      </c>
      <c r="D59" s="1">
        <v>0</v>
      </c>
      <c r="E59" s="62">
        <f t="shared" si="0"/>
        <v>0</v>
      </c>
      <c r="F59" s="1">
        <v>6</v>
      </c>
      <c r="G59" s="62">
        <f t="shared" si="0"/>
        <v>30</v>
      </c>
      <c r="H59" s="1">
        <v>3</v>
      </c>
      <c r="I59" s="62">
        <f t="shared" si="0"/>
        <v>15</v>
      </c>
      <c r="J59" s="1">
        <v>11</v>
      </c>
      <c r="K59" s="67">
        <f t="shared" si="0"/>
        <v>55.000000000000007</v>
      </c>
    </row>
    <row r="60" spans="1:11" ht="41.4" x14ac:dyDescent="0.3">
      <c r="A60" s="106"/>
      <c r="B60" s="1">
        <v>3</v>
      </c>
      <c r="C60" s="1" t="s">
        <v>62</v>
      </c>
      <c r="D60" s="1">
        <v>0</v>
      </c>
      <c r="E60" s="62">
        <f t="shared" si="0"/>
        <v>0</v>
      </c>
      <c r="F60" s="1">
        <v>4</v>
      </c>
      <c r="G60" s="62">
        <f t="shared" si="0"/>
        <v>20</v>
      </c>
      <c r="H60" s="1">
        <v>4</v>
      </c>
      <c r="I60" s="62">
        <f t="shared" si="0"/>
        <v>20</v>
      </c>
      <c r="J60" s="1">
        <v>12</v>
      </c>
      <c r="K60" s="67">
        <f t="shared" si="0"/>
        <v>60</v>
      </c>
    </row>
    <row r="61" spans="1:11" ht="55.2" x14ac:dyDescent="0.3">
      <c r="A61" s="106"/>
      <c r="B61" s="1">
        <v>4</v>
      </c>
      <c r="C61" s="1" t="s">
        <v>63</v>
      </c>
      <c r="D61" s="1">
        <v>0</v>
      </c>
      <c r="E61" s="62">
        <f t="shared" si="0"/>
        <v>0</v>
      </c>
      <c r="F61" s="1">
        <v>5</v>
      </c>
      <c r="G61" s="62">
        <f t="shared" si="0"/>
        <v>25</v>
      </c>
      <c r="H61" s="1">
        <v>2</v>
      </c>
      <c r="I61" s="62">
        <f t="shared" si="0"/>
        <v>10</v>
      </c>
      <c r="J61" s="1">
        <v>13</v>
      </c>
      <c r="K61" s="67">
        <f t="shared" si="0"/>
        <v>65</v>
      </c>
    </row>
    <row r="62" spans="1:11" ht="110.4" x14ac:dyDescent="0.3">
      <c r="A62" s="106"/>
      <c r="B62" s="1">
        <v>5</v>
      </c>
      <c r="C62" s="1" t="s">
        <v>64</v>
      </c>
      <c r="D62" s="1">
        <v>0</v>
      </c>
      <c r="E62" s="62">
        <f t="shared" ref="E62:K64" si="1">(D62/20)*100</f>
        <v>0</v>
      </c>
      <c r="F62" s="1">
        <v>6</v>
      </c>
      <c r="G62" s="62">
        <f t="shared" si="1"/>
        <v>30</v>
      </c>
      <c r="H62" s="1">
        <v>1</v>
      </c>
      <c r="I62" s="62">
        <f t="shared" si="1"/>
        <v>5</v>
      </c>
      <c r="J62" s="1">
        <v>13</v>
      </c>
      <c r="K62" s="67">
        <f t="shared" si="1"/>
        <v>65</v>
      </c>
    </row>
    <row r="63" spans="1:11" x14ac:dyDescent="0.3">
      <c r="A63" s="110" t="s">
        <v>65</v>
      </c>
      <c r="B63" s="111"/>
      <c r="C63" s="111"/>
      <c r="D63" s="111"/>
      <c r="E63" s="111"/>
      <c r="F63" s="111"/>
      <c r="G63" s="111"/>
      <c r="H63" s="111"/>
      <c r="I63" s="111"/>
      <c r="J63" s="111"/>
      <c r="K63" s="112"/>
    </row>
    <row r="64" spans="1:11" ht="69" x14ac:dyDescent="0.3">
      <c r="A64" s="64" t="s">
        <v>7</v>
      </c>
      <c r="B64" s="1">
        <v>1</v>
      </c>
      <c r="C64" s="1" t="s">
        <v>66</v>
      </c>
      <c r="D64" s="1">
        <v>0</v>
      </c>
      <c r="E64" s="62">
        <f t="shared" si="1"/>
        <v>0</v>
      </c>
      <c r="F64" s="1">
        <v>4</v>
      </c>
      <c r="G64" s="62">
        <f t="shared" si="1"/>
        <v>20</v>
      </c>
      <c r="H64" s="1">
        <v>3</v>
      </c>
      <c r="I64" s="62">
        <f t="shared" si="1"/>
        <v>15</v>
      </c>
      <c r="J64" s="1">
        <v>13</v>
      </c>
      <c r="K64" s="67">
        <f t="shared" si="1"/>
        <v>65</v>
      </c>
    </row>
    <row r="65" spans="1:11" ht="41.4" x14ac:dyDescent="0.3">
      <c r="A65" s="105" t="s">
        <v>157</v>
      </c>
      <c r="B65" s="1">
        <v>1</v>
      </c>
      <c r="C65" s="1" t="s">
        <v>67</v>
      </c>
      <c r="D65" s="1">
        <v>0</v>
      </c>
      <c r="E65" s="62">
        <f>(D65/20)*100</f>
        <v>0</v>
      </c>
      <c r="F65" s="1">
        <v>2</v>
      </c>
      <c r="G65" s="62">
        <f>(F65/20)*100</f>
        <v>10</v>
      </c>
      <c r="H65" s="1">
        <v>4</v>
      </c>
      <c r="I65" s="62">
        <f>(H65/20)*100</f>
        <v>20</v>
      </c>
      <c r="J65" s="1">
        <v>14</v>
      </c>
      <c r="K65" s="67">
        <f>(J65/20)*100</f>
        <v>70</v>
      </c>
    </row>
    <row r="66" spans="1:11" ht="55.2" x14ac:dyDescent="0.3">
      <c r="A66" s="106"/>
      <c r="B66" s="1">
        <v>2</v>
      </c>
      <c r="C66" s="1" t="s">
        <v>68</v>
      </c>
      <c r="D66" s="1">
        <v>0</v>
      </c>
      <c r="E66" s="62">
        <f t="shared" ref="E66:K121" si="2">(D66/20)*100</f>
        <v>0</v>
      </c>
      <c r="F66" s="1">
        <v>11</v>
      </c>
      <c r="G66" s="62">
        <f t="shared" si="2"/>
        <v>55.000000000000007</v>
      </c>
      <c r="H66" s="1">
        <v>4</v>
      </c>
      <c r="I66" s="62">
        <f t="shared" si="2"/>
        <v>20</v>
      </c>
      <c r="J66" s="1">
        <v>5</v>
      </c>
      <c r="K66" s="67">
        <f t="shared" si="2"/>
        <v>25</v>
      </c>
    </row>
    <row r="67" spans="1:11" ht="69" x14ac:dyDescent="0.3">
      <c r="A67" s="106"/>
      <c r="B67" s="1">
        <v>3</v>
      </c>
      <c r="C67" s="1" t="s">
        <v>69</v>
      </c>
      <c r="D67" s="1">
        <v>0</v>
      </c>
      <c r="E67" s="62">
        <f t="shared" si="2"/>
        <v>0</v>
      </c>
      <c r="F67" s="1">
        <v>10</v>
      </c>
      <c r="G67" s="62">
        <f t="shared" si="2"/>
        <v>50</v>
      </c>
      <c r="H67" s="1">
        <v>3</v>
      </c>
      <c r="I67" s="62">
        <f t="shared" si="2"/>
        <v>15</v>
      </c>
      <c r="J67" s="1">
        <v>7</v>
      </c>
      <c r="K67" s="67">
        <f t="shared" si="2"/>
        <v>35</v>
      </c>
    </row>
    <row r="68" spans="1:11" ht="69" x14ac:dyDescent="0.3">
      <c r="A68" s="106"/>
      <c r="B68" s="1">
        <v>4</v>
      </c>
      <c r="C68" s="1" t="s">
        <v>70</v>
      </c>
      <c r="D68" s="1">
        <v>16</v>
      </c>
      <c r="E68" s="62">
        <f t="shared" si="2"/>
        <v>80</v>
      </c>
      <c r="F68" s="1">
        <v>4</v>
      </c>
      <c r="G68" s="62">
        <f t="shared" si="2"/>
        <v>20</v>
      </c>
      <c r="H68" s="1">
        <v>0</v>
      </c>
      <c r="I68" s="62">
        <f t="shared" si="2"/>
        <v>0</v>
      </c>
      <c r="J68" s="1">
        <v>0</v>
      </c>
      <c r="K68" s="67">
        <f t="shared" si="2"/>
        <v>0</v>
      </c>
    </row>
    <row r="69" spans="1:11" ht="27.6" x14ac:dyDescent="0.3">
      <c r="A69" s="106"/>
      <c r="B69" s="1">
        <v>5</v>
      </c>
      <c r="C69" s="1" t="s">
        <v>71</v>
      </c>
      <c r="D69" s="1">
        <v>0</v>
      </c>
      <c r="E69" s="62">
        <f t="shared" si="2"/>
        <v>0</v>
      </c>
      <c r="F69" s="1">
        <v>11</v>
      </c>
      <c r="G69" s="62">
        <f t="shared" si="2"/>
        <v>55.000000000000007</v>
      </c>
      <c r="H69" s="1">
        <v>1</v>
      </c>
      <c r="I69" s="62">
        <f t="shared" si="2"/>
        <v>5</v>
      </c>
      <c r="J69" s="1">
        <v>8</v>
      </c>
      <c r="K69" s="67">
        <f t="shared" si="2"/>
        <v>40</v>
      </c>
    </row>
    <row r="70" spans="1:11" ht="41.4" x14ac:dyDescent="0.3">
      <c r="A70" s="106"/>
      <c r="B70" s="1">
        <v>6</v>
      </c>
      <c r="C70" s="1" t="s">
        <v>72</v>
      </c>
      <c r="D70" s="1">
        <v>0</v>
      </c>
      <c r="E70" s="62">
        <f t="shared" si="2"/>
        <v>0</v>
      </c>
      <c r="F70" s="1">
        <v>1</v>
      </c>
      <c r="G70" s="62">
        <f t="shared" si="2"/>
        <v>5</v>
      </c>
      <c r="H70" s="1">
        <v>12</v>
      </c>
      <c r="I70" s="62">
        <f t="shared" si="2"/>
        <v>60</v>
      </c>
      <c r="J70" s="1">
        <v>7</v>
      </c>
      <c r="K70" s="67">
        <f t="shared" si="2"/>
        <v>35</v>
      </c>
    </row>
    <row r="71" spans="1:11" ht="69" x14ac:dyDescent="0.3">
      <c r="A71" s="105" t="s">
        <v>73</v>
      </c>
      <c r="B71" s="1">
        <v>1</v>
      </c>
      <c r="C71" s="1" t="s">
        <v>74</v>
      </c>
      <c r="D71" s="1">
        <v>0</v>
      </c>
      <c r="E71" s="62">
        <f t="shared" si="2"/>
        <v>0</v>
      </c>
      <c r="F71" s="1">
        <v>1</v>
      </c>
      <c r="G71" s="62">
        <f t="shared" si="2"/>
        <v>5</v>
      </c>
      <c r="H71" s="1">
        <v>2</v>
      </c>
      <c r="I71" s="62">
        <f t="shared" si="2"/>
        <v>10</v>
      </c>
      <c r="J71" s="1">
        <v>17</v>
      </c>
      <c r="K71" s="67">
        <f t="shared" si="2"/>
        <v>85</v>
      </c>
    </row>
    <row r="72" spans="1:11" ht="41.4" x14ac:dyDescent="0.3">
      <c r="A72" s="106"/>
      <c r="B72" s="1">
        <v>2</v>
      </c>
      <c r="C72" s="1" t="s">
        <v>75</v>
      </c>
      <c r="D72" s="1">
        <v>0</v>
      </c>
      <c r="E72" s="62">
        <f t="shared" si="2"/>
        <v>0</v>
      </c>
      <c r="F72" s="1">
        <v>0</v>
      </c>
      <c r="G72" s="62">
        <f t="shared" si="2"/>
        <v>0</v>
      </c>
      <c r="H72" s="1">
        <v>2</v>
      </c>
      <c r="I72" s="62">
        <f t="shared" si="2"/>
        <v>10</v>
      </c>
      <c r="J72" s="1">
        <v>18</v>
      </c>
      <c r="K72" s="67">
        <f t="shared" si="2"/>
        <v>90</v>
      </c>
    </row>
    <row r="73" spans="1:11" ht="27.6" x14ac:dyDescent="0.3">
      <c r="A73" s="106"/>
      <c r="B73" s="1">
        <v>3</v>
      </c>
      <c r="C73" s="1" t="s">
        <v>76</v>
      </c>
      <c r="D73" s="1">
        <v>0</v>
      </c>
      <c r="E73" s="62">
        <f t="shared" si="2"/>
        <v>0</v>
      </c>
      <c r="F73" s="1">
        <v>0</v>
      </c>
      <c r="G73" s="62">
        <f t="shared" si="2"/>
        <v>0</v>
      </c>
      <c r="H73" s="1">
        <v>6</v>
      </c>
      <c r="I73" s="62">
        <f t="shared" si="2"/>
        <v>30</v>
      </c>
      <c r="J73" s="1">
        <v>14</v>
      </c>
      <c r="K73" s="67">
        <f t="shared" si="2"/>
        <v>70</v>
      </c>
    </row>
    <row r="74" spans="1:11" ht="41.4" x14ac:dyDescent="0.3">
      <c r="A74" s="106"/>
      <c r="B74" s="1">
        <v>4</v>
      </c>
      <c r="C74" s="1" t="s">
        <v>77</v>
      </c>
      <c r="D74" s="1">
        <v>0</v>
      </c>
      <c r="E74" s="62">
        <f t="shared" si="2"/>
        <v>0</v>
      </c>
      <c r="F74" s="1">
        <v>0</v>
      </c>
      <c r="G74" s="62">
        <f t="shared" si="2"/>
        <v>0</v>
      </c>
      <c r="H74" s="1">
        <v>4</v>
      </c>
      <c r="I74" s="62">
        <f t="shared" si="2"/>
        <v>20</v>
      </c>
      <c r="J74" s="1">
        <v>16</v>
      </c>
      <c r="K74" s="67">
        <f t="shared" si="2"/>
        <v>80</v>
      </c>
    </row>
    <row r="75" spans="1:11" ht="82.8" x14ac:dyDescent="0.3">
      <c r="A75" s="106"/>
      <c r="B75" s="1">
        <v>5</v>
      </c>
      <c r="C75" s="1" t="s">
        <v>78</v>
      </c>
      <c r="D75" s="1">
        <v>0</v>
      </c>
      <c r="E75" s="62">
        <f t="shared" si="2"/>
        <v>0</v>
      </c>
      <c r="F75" s="1">
        <v>2</v>
      </c>
      <c r="G75" s="62">
        <f t="shared" si="2"/>
        <v>10</v>
      </c>
      <c r="H75" s="1">
        <v>4</v>
      </c>
      <c r="I75" s="62">
        <f t="shared" si="2"/>
        <v>20</v>
      </c>
      <c r="J75" s="1">
        <v>14</v>
      </c>
      <c r="K75" s="67">
        <f t="shared" si="2"/>
        <v>70</v>
      </c>
    </row>
    <row r="76" spans="1:11" ht="41.4" x14ac:dyDescent="0.3">
      <c r="A76" s="106"/>
      <c r="B76" s="1">
        <v>6</v>
      </c>
      <c r="C76" s="1" t="s">
        <v>79</v>
      </c>
      <c r="D76" s="1">
        <v>0</v>
      </c>
      <c r="E76" s="62">
        <f t="shared" si="2"/>
        <v>0</v>
      </c>
      <c r="F76" s="1">
        <v>3</v>
      </c>
      <c r="G76" s="62">
        <f t="shared" si="2"/>
        <v>15</v>
      </c>
      <c r="H76" s="1">
        <v>4</v>
      </c>
      <c r="I76" s="62">
        <f t="shared" si="2"/>
        <v>20</v>
      </c>
      <c r="J76" s="1">
        <v>13</v>
      </c>
      <c r="K76" s="67">
        <f t="shared" si="2"/>
        <v>65</v>
      </c>
    </row>
    <row r="77" spans="1:11" ht="55.2" x14ac:dyDescent="0.3">
      <c r="A77" s="113" t="s">
        <v>159</v>
      </c>
      <c r="B77" s="1">
        <v>1</v>
      </c>
      <c r="C77" s="1" t="s">
        <v>80</v>
      </c>
      <c r="D77" s="1">
        <v>0</v>
      </c>
      <c r="E77" s="62">
        <f t="shared" si="2"/>
        <v>0</v>
      </c>
      <c r="F77" s="1">
        <v>1</v>
      </c>
      <c r="G77" s="62">
        <f t="shared" si="2"/>
        <v>5</v>
      </c>
      <c r="H77" s="1">
        <v>4</v>
      </c>
      <c r="I77" s="62">
        <f t="shared" si="2"/>
        <v>20</v>
      </c>
      <c r="J77" s="1">
        <v>15</v>
      </c>
      <c r="K77" s="67">
        <f t="shared" si="2"/>
        <v>75</v>
      </c>
    </row>
    <row r="78" spans="1:11" ht="41.4" x14ac:dyDescent="0.3">
      <c r="A78" s="114"/>
      <c r="B78" s="1">
        <v>2</v>
      </c>
      <c r="C78" s="1" t="s">
        <v>81</v>
      </c>
      <c r="D78" s="1">
        <v>0</v>
      </c>
      <c r="E78" s="62">
        <f t="shared" si="2"/>
        <v>0</v>
      </c>
      <c r="F78" s="1">
        <v>4</v>
      </c>
      <c r="G78" s="62">
        <f t="shared" si="2"/>
        <v>20</v>
      </c>
      <c r="H78" s="1">
        <v>2</v>
      </c>
      <c r="I78" s="62">
        <f t="shared" si="2"/>
        <v>10</v>
      </c>
      <c r="J78" s="1">
        <v>14</v>
      </c>
      <c r="K78" s="67">
        <f t="shared" si="2"/>
        <v>70</v>
      </c>
    </row>
    <row r="79" spans="1:11" ht="55.2" x14ac:dyDescent="0.3">
      <c r="A79" s="114"/>
      <c r="B79" s="1">
        <v>3</v>
      </c>
      <c r="C79" s="1" t="s">
        <v>82</v>
      </c>
      <c r="D79" s="1">
        <v>0</v>
      </c>
      <c r="E79" s="62">
        <f t="shared" si="2"/>
        <v>0</v>
      </c>
      <c r="F79" s="1">
        <v>3</v>
      </c>
      <c r="G79" s="62">
        <f t="shared" si="2"/>
        <v>15</v>
      </c>
      <c r="H79" s="1">
        <v>3</v>
      </c>
      <c r="I79" s="62">
        <f t="shared" si="2"/>
        <v>15</v>
      </c>
      <c r="J79" s="1">
        <v>16</v>
      </c>
      <c r="K79" s="67">
        <f t="shared" si="2"/>
        <v>80</v>
      </c>
    </row>
    <row r="80" spans="1:11" ht="55.2" x14ac:dyDescent="0.3">
      <c r="A80" s="114"/>
      <c r="B80" s="1">
        <v>4</v>
      </c>
      <c r="C80" s="1" t="s">
        <v>83</v>
      </c>
      <c r="D80" s="1">
        <v>0</v>
      </c>
      <c r="E80" s="62">
        <f t="shared" si="2"/>
        <v>0</v>
      </c>
      <c r="F80" s="1">
        <v>1</v>
      </c>
      <c r="G80" s="62">
        <f t="shared" si="2"/>
        <v>5</v>
      </c>
      <c r="H80" s="1">
        <v>0</v>
      </c>
      <c r="I80" s="62">
        <f t="shared" si="2"/>
        <v>0</v>
      </c>
      <c r="J80" s="1">
        <v>19</v>
      </c>
      <c r="K80" s="67">
        <f t="shared" si="2"/>
        <v>95</v>
      </c>
    </row>
    <row r="81" spans="1:11" ht="55.2" x14ac:dyDescent="0.3">
      <c r="A81" s="114"/>
      <c r="B81" s="1">
        <v>5</v>
      </c>
      <c r="C81" s="1" t="s">
        <v>84</v>
      </c>
      <c r="D81" s="1">
        <v>0</v>
      </c>
      <c r="E81" s="62">
        <f t="shared" si="2"/>
        <v>0</v>
      </c>
      <c r="F81" s="1">
        <v>2</v>
      </c>
      <c r="G81" s="62">
        <f t="shared" si="2"/>
        <v>10</v>
      </c>
      <c r="H81" s="1">
        <v>15</v>
      </c>
      <c r="I81" s="62">
        <f t="shared" si="2"/>
        <v>75</v>
      </c>
      <c r="J81" s="1">
        <v>3</v>
      </c>
      <c r="K81" s="67">
        <f t="shared" si="2"/>
        <v>15</v>
      </c>
    </row>
    <row r="82" spans="1:11" ht="41.4" x14ac:dyDescent="0.3">
      <c r="A82" s="114"/>
      <c r="B82" s="1">
        <v>6</v>
      </c>
      <c r="C82" s="1" t="s">
        <v>85</v>
      </c>
      <c r="D82" s="1">
        <v>0</v>
      </c>
      <c r="E82" s="62">
        <f t="shared" si="2"/>
        <v>0</v>
      </c>
      <c r="F82" s="1">
        <v>3</v>
      </c>
      <c r="G82" s="62">
        <f t="shared" si="2"/>
        <v>15</v>
      </c>
      <c r="H82" s="1">
        <v>3</v>
      </c>
      <c r="I82" s="62">
        <f t="shared" si="2"/>
        <v>15</v>
      </c>
      <c r="J82" s="1">
        <v>14</v>
      </c>
      <c r="K82" s="67">
        <f t="shared" si="2"/>
        <v>70</v>
      </c>
    </row>
    <row r="83" spans="1:11" ht="41.4" x14ac:dyDescent="0.3">
      <c r="A83" s="114"/>
      <c r="B83" s="1">
        <v>7</v>
      </c>
      <c r="C83" s="1" t="s">
        <v>86</v>
      </c>
      <c r="D83" s="1">
        <v>0</v>
      </c>
      <c r="E83" s="62">
        <f t="shared" si="2"/>
        <v>0</v>
      </c>
      <c r="F83" s="1">
        <v>4</v>
      </c>
      <c r="G83" s="62">
        <f t="shared" si="2"/>
        <v>20</v>
      </c>
      <c r="H83" s="1">
        <v>1</v>
      </c>
      <c r="I83" s="62">
        <f t="shared" si="2"/>
        <v>5</v>
      </c>
      <c r="J83" s="1">
        <v>15</v>
      </c>
      <c r="K83" s="67">
        <f t="shared" si="2"/>
        <v>75</v>
      </c>
    </row>
    <row r="84" spans="1:11" ht="41.4" x14ac:dyDescent="0.3">
      <c r="A84" s="114"/>
      <c r="B84" s="1">
        <v>8</v>
      </c>
      <c r="C84" s="1" t="s">
        <v>87</v>
      </c>
      <c r="D84" s="1">
        <v>0</v>
      </c>
      <c r="E84" s="62">
        <f t="shared" si="2"/>
        <v>0</v>
      </c>
      <c r="F84" s="1">
        <v>10</v>
      </c>
      <c r="G84" s="62">
        <f t="shared" si="2"/>
        <v>50</v>
      </c>
      <c r="H84" s="1">
        <v>6</v>
      </c>
      <c r="I84" s="62">
        <f t="shared" si="2"/>
        <v>30</v>
      </c>
      <c r="J84" s="1">
        <v>4</v>
      </c>
      <c r="K84" s="67">
        <f t="shared" si="2"/>
        <v>20</v>
      </c>
    </row>
    <row r="85" spans="1:11" ht="55.2" x14ac:dyDescent="0.3">
      <c r="A85" s="105" t="s">
        <v>26</v>
      </c>
      <c r="B85" s="1">
        <v>1</v>
      </c>
      <c r="C85" s="1" t="s">
        <v>88</v>
      </c>
      <c r="D85" s="1">
        <v>0</v>
      </c>
      <c r="E85" s="62">
        <f t="shared" si="2"/>
        <v>0</v>
      </c>
      <c r="F85" s="1">
        <v>1</v>
      </c>
      <c r="G85" s="62">
        <f t="shared" si="2"/>
        <v>5</v>
      </c>
      <c r="H85" s="1">
        <v>4</v>
      </c>
      <c r="I85" s="62">
        <f t="shared" si="2"/>
        <v>20</v>
      </c>
      <c r="J85" s="1">
        <v>15</v>
      </c>
      <c r="K85" s="67">
        <f t="shared" si="2"/>
        <v>75</v>
      </c>
    </row>
    <row r="86" spans="1:11" ht="55.2" x14ac:dyDescent="0.3">
      <c r="A86" s="106"/>
      <c r="B86" s="1">
        <v>2</v>
      </c>
      <c r="C86" s="1" t="s">
        <v>89</v>
      </c>
      <c r="D86" s="1">
        <v>0</v>
      </c>
      <c r="E86" s="62">
        <f t="shared" si="2"/>
        <v>0</v>
      </c>
      <c r="F86" s="1">
        <v>3</v>
      </c>
      <c r="G86" s="62">
        <f t="shared" si="2"/>
        <v>15</v>
      </c>
      <c r="H86" s="1">
        <v>6</v>
      </c>
      <c r="I86" s="62">
        <f t="shared" si="2"/>
        <v>30</v>
      </c>
      <c r="J86" s="1">
        <v>11</v>
      </c>
      <c r="K86" s="67">
        <f t="shared" si="2"/>
        <v>55.000000000000007</v>
      </c>
    </row>
    <row r="87" spans="1:11" ht="27.6" x14ac:dyDescent="0.3">
      <c r="A87" s="106"/>
      <c r="B87" s="1">
        <v>3</v>
      </c>
      <c r="C87" s="1" t="s">
        <v>90</v>
      </c>
      <c r="D87" s="1">
        <v>0</v>
      </c>
      <c r="E87" s="62">
        <f t="shared" si="2"/>
        <v>0</v>
      </c>
      <c r="F87" s="1">
        <v>5</v>
      </c>
      <c r="G87" s="62">
        <f t="shared" si="2"/>
        <v>25</v>
      </c>
      <c r="H87" s="1">
        <v>3</v>
      </c>
      <c r="I87" s="62">
        <f t="shared" si="2"/>
        <v>15</v>
      </c>
      <c r="J87" s="1">
        <v>12</v>
      </c>
      <c r="K87" s="67">
        <f t="shared" si="2"/>
        <v>60</v>
      </c>
    </row>
    <row r="88" spans="1:11" ht="82.8" x14ac:dyDescent="0.3">
      <c r="A88" s="106"/>
      <c r="B88" s="1">
        <v>4</v>
      </c>
      <c r="C88" s="1" t="s">
        <v>91</v>
      </c>
      <c r="D88" s="1">
        <v>1</v>
      </c>
      <c r="E88" s="62">
        <f t="shared" si="2"/>
        <v>5</v>
      </c>
      <c r="F88" s="1">
        <v>2</v>
      </c>
      <c r="G88" s="62">
        <f t="shared" si="2"/>
        <v>10</v>
      </c>
      <c r="H88" s="1">
        <v>3</v>
      </c>
      <c r="I88" s="62">
        <f t="shared" si="2"/>
        <v>15</v>
      </c>
      <c r="J88" s="1">
        <v>14</v>
      </c>
      <c r="K88" s="67">
        <f t="shared" si="2"/>
        <v>70</v>
      </c>
    </row>
    <row r="89" spans="1:11" ht="82.8" x14ac:dyDescent="0.3">
      <c r="A89" s="106"/>
      <c r="B89" s="1">
        <v>5</v>
      </c>
      <c r="C89" s="1" t="s">
        <v>92</v>
      </c>
      <c r="D89" s="1">
        <v>0</v>
      </c>
      <c r="E89" s="62">
        <f t="shared" si="2"/>
        <v>0</v>
      </c>
      <c r="F89" s="1">
        <v>2</v>
      </c>
      <c r="G89" s="62">
        <f t="shared" si="2"/>
        <v>10</v>
      </c>
      <c r="H89" s="1">
        <v>2</v>
      </c>
      <c r="I89" s="62">
        <f t="shared" si="2"/>
        <v>10</v>
      </c>
      <c r="J89" s="1">
        <v>16</v>
      </c>
      <c r="K89" s="67">
        <f t="shared" si="2"/>
        <v>80</v>
      </c>
    </row>
    <row r="90" spans="1:11" ht="55.2" x14ac:dyDescent="0.3">
      <c r="A90" s="106"/>
      <c r="B90" s="1">
        <v>6</v>
      </c>
      <c r="C90" s="1" t="s">
        <v>93</v>
      </c>
      <c r="D90" s="1">
        <v>0</v>
      </c>
      <c r="E90" s="62">
        <f t="shared" si="2"/>
        <v>0</v>
      </c>
      <c r="F90" s="1">
        <v>6</v>
      </c>
      <c r="G90" s="62">
        <f t="shared" si="2"/>
        <v>30</v>
      </c>
      <c r="H90" s="1">
        <v>3</v>
      </c>
      <c r="I90" s="62">
        <f t="shared" si="2"/>
        <v>15</v>
      </c>
      <c r="J90" s="1">
        <v>11</v>
      </c>
      <c r="K90" s="67">
        <f t="shared" si="2"/>
        <v>55.000000000000007</v>
      </c>
    </row>
    <row r="91" spans="1:11" ht="55.2" x14ac:dyDescent="0.3">
      <c r="A91" s="106"/>
      <c r="B91" s="1">
        <v>7</v>
      </c>
      <c r="C91" s="1" t="s">
        <v>94</v>
      </c>
      <c r="D91" s="1">
        <v>0</v>
      </c>
      <c r="E91" s="62">
        <f t="shared" si="2"/>
        <v>0</v>
      </c>
      <c r="F91" s="1">
        <v>3</v>
      </c>
      <c r="G91" s="62">
        <f t="shared" si="2"/>
        <v>15</v>
      </c>
      <c r="H91" s="1">
        <v>5</v>
      </c>
      <c r="I91" s="62">
        <f t="shared" si="2"/>
        <v>25</v>
      </c>
      <c r="J91" s="1">
        <v>12</v>
      </c>
      <c r="K91" s="67">
        <f t="shared" si="2"/>
        <v>60</v>
      </c>
    </row>
    <row r="92" spans="1:11" ht="55.2" x14ac:dyDescent="0.3">
      <c r="A92" s="106"/>
      <c r="B92" s="1">
        <v>8</v>
      </c>
      <c r="C92" s="1" t="s">
        <v>95</v>
      </c>
      <c r="D92" s="1">
        <v>0</v>
      </c>
      <c r="E92" s="62">
        <f t="shared" si="2"/>
        <v>0</v>
      </c>
      <c r="F92" s="1">
        <v>3</v>
      </c>
      <c r="G92" s="62">
        <f t="shared" si="2"/>
        <v>15</v>
      </c>
      <c r="H92" s="1">
        <v>4</v>
      </c>
      <c r="I92" s="62">
        <f t="shared" si="2"/>
        <v>20</v>
      </c>
      <c r="J92" s="1">
        <v>13</v>
      </c>
      <c r="K92" s="67">
        <f t="shared" si="2"/>
        <v>65</v>
      </c>
    </row>
    <row r="93" spans="1:11" ht="41.4" x14ac:dyDescent="0.3">
      <c r="A93" s="106"/>
      <c r="B93" s="1">
        <v>9</v>
      </c>
      <c r="C93" s="1" t="s">
        <v>96</v>
      </c>
      <c r="D93" s="1">
        <v>3</v>
      </c>
      <c r="E93" s="62">
        <f t="shared" si="2"/>
        <v>15</v>
      </c>
      <c r="F93" s="1">
        <v>6</v>
      </c>
      <c r="G93" s="62">
        <f t="shared" si="2"/>
        <v>30</v>
      </c>
      <c r="H93" s="1">
        <v>2</v>
      </c>
      <c r="I93" s="62">
        <f t="shared" si="2"/>
        <v>10</v>
      </c>
      <c r="J93" s="1">
        <v>9</v>
      </c>
      <c r="K93" s="67">
        <f t="shared" si="2"/>
        <v>45</v>
      </c>
    </row>
    <row r="94" spans="1:11" ht="82.8" x14ac:dyDescent="0.3">
      <c r="A94" s="106"/>
      <c r="B94" s="1">
        <v>10</v>
      </c>
      <c r="C94" s="1" t="s">
        <v>97</v>
      </c>
      <c r="D94" s="1">
        <v>0</v>
      </c>
      <c r="E94" s="62">
        <f t="shared" si="2"/>
        <v>0</v>
      </c>
      <c r="F94" s="1">
        <v>8</v>
      </c>
      <c r="G94" s="62">
        <f t="shared" si="2"/>
        <v>40</v>
      </c>
      <c r="H94" s="1">
        <v>1</v>
      </c>
      <c r="I94" s="62">
        <f t="shared" si="2"/>
        <v>5</v>
      </c>
      <c r="J94" s="1">
        <v>11</v>
      </c>
      <c r="K94" s="67">
        <f t="shared" si="2"/>
        <v>55.000000000000007</v>
      </c>
    </row>
    <row r="95" spans="1:11" ht="69" x14ac:dyDescent="0.3">
      <c r="A95" s="105" t="s">
        <v>33</v>
      </c>
      <c r="B95" s="1">
        <v>1</v>
      </c>
      <c r="C95" s="1" t="s">
        <v>98</v>
      </c>
      <c r="D95" s="1">
        <v>0</v>
      </c>
      <c r="E95" s="62">
        <f t="shared" si="2"/>
        <v>0</v>
      </c>
      <c r="F95" s="1">
        <v>4</v>
      </c>
      <c r="G95" s="62">
        <f t="shared" si="2"/>
        <v>20</v>
      </c>
      <c r="H95" s="1">
        <v>2</v>
      </c>
      <c r="I95" s="62">
        <f t="shared" si="2"/>
        <v>10</v>
      </c>
      <c r="J95" s="1">
        <v>14</v>
      </c>
      <c r="K95" s="67">
        <f t="shared" si="2"/>
        <v>70</v>
      </c>
    </row>
    <row r="96" spans="1:11" ht="82.8" x14ac:dyDescent="0.3">
      <c r="A96" s="106"/>
      <c r="B96" s="1">
        <v>2</v>
      </c>
      <c r="C96" s="1" t="s">
        <v>99</v>
      </c>
      <c r="D96" s="1">
        <v>0</v>
      </c>
      <c r="E96" s="62">
        <f t="shared" si="2"/>
        <v>0</v>
      </c>
      <c r="F96" s="1">
        <v>4</v>
      </c>
      <c r="G96" s="62">
        <f t="shared" si="2"/>
        <v>20</v>
      </c>
      <c r="H96" s="1">
        <v>1</v>
      </c>
      <c r="I96" s="62">
        <f t="shared" si="2"/>
        <v>5</v>
      </c>
      <c r="J96" s="1">
        <v>15</v>
      </c>
      <c r="K96" s="67">
        <f t="shared" si="2"/>
        <v>75</v>
      </c>
    </row>
    <row r="97" spans="1:11" ht="55.2" x14ac:dyDescent="0.3">
      <c r="A97" s="106"/>
      <c r="B97" s="1">
        <v>3</v>
      </c>
      <c r="C97" s="1" t="s">
        <v>100</v>
      </c>
      <c r="D97" s="1">
        <v>3</v>
      </c>
      <c r="E97" s="62">
        <f t="shared" si="2"/>
        <v>15</v>
      </c>
      <c r="F97" s="1">
        <v>5</v>
      </c>
      <c r="G97" s="62">
        <f t="shared" si="2"/>
        <v>25</v>
      </c>
      <c r="H97" s="1">
        <v>2</v>
      </c>
      <c r="I97" s="62">
        <f t="shared" si="2"/>
        <v>10</v>
      </c>
      <c r="J97" s="1">
        <v>10</v>
      </c>
      <c r="K97" s="67">
        <f t="shared" si="2"/>
        <v>50</v>
      </c>
    </row>
    <row r="98" spans="1:11" ht="41.4" x14ac:dyDescent="0.3">
      <c r="A98" s="106"/>
      <c r="B98" s="1">
        <v>4</v>
      </c>
      <c r="C98" s="1" t="s">
        <v>101</v>
      </c>
      <c r="D98" s="1">
        <v>5</v>
      </c>
      <c r="E98" s="62">
        <f t="shared" si="2"/>
        <v>25</v>
      </c>
      <c r="F98" s="1">
        <v>6</v>
      </c>
      <c r="G98" s="62">
        <f t="shared" si="2"/>
        <v>30</v>
      </c>
      <c r="H98" s="1">
        <v>3</v>
      </c>
      <c r="I98" s="62">
        <f t="shared" si="2"/>
        <v>15</v>
      </c>
      <c r="J98" s="1">
        <v>6</v>
      </c>
      <c r="K98" s="67">
        <f t="shared" si="2"/>
        <v>30</v>
      </c>
    </row>
    <row r="99" spans="1:11" ht="55.2" x14ac:dyDescent="0.3">
      <c r="A99" s="106"/>
      <c r="B99" s="1">
        <v>5</v>
      </c>
      <c r="C99" s="1" t="s">
        <v>102</v>
      </c>
      <c r="D99" s="1">
        <v>4</v>
      </c>
      <c r="E99" s="62">
        <f t="shared" si="2"/>
        <v>20</v>
      </c>
      <c r="F99" s="1">
        <v>5</v>
      </c>
      <c r="G99" s="62">
        <f t="shared" si="2"/>
        <v>25</v>
      </c>
      <c r="H99" s="1">
        <v>3</v>
      </c>
      <c r="I99" s="62">
        <f t="shared" si="2"/>
        <v>15</v>
      </c>
      <c r="J99" s="1">
        <v>8</v>
      </c>
      <c r="K99" s="67">
        <f t="shared" si="2"/>
        <v>40</v>
      </c>
    </row>
    <row r="100" spans="1:11" ht="82.8" x14ac:dyDescent="0.3">
      <c r="A100" s="106"/>
      <c r="B100" s="1">
        <v>6</v>
      </c>
      <c r="C100" s="1" t="s">
        <v>103</v>
      </c>
      <c r="D100" s="1">
        <v>3</v>
      </c>
      <c r="E100" s="62">
        <f t="shared" si="2"/>
        <v>15</v>
      </c>
      <c r="F100" s="1">
        <v>2</v>
      </c>
      <c r="G100" s="62">
        <f t="shared" si="2"/>
        <v>10</v>
      </c>
      <c r="H100" s="1">
        <v>3</v>
      </c>
      <c r="I100" s="62">
        <f t="shared" si="2"/>
        <v>15</v>
      </c>
      <c r="J100" s="1">
        <v>12</v>
      </c>
      <c r="K100" s="67">
        <f t="shared" si="2"/>
        <v>60</v>
      </c>
    </row>
    <row r="101" spans="1:11" x14ac:dyDescent="0.3">
      <c r="A101" s="110" t="s">
        <v>141</v>
      </c>
      <c r="B101" s="111"/>
      <c r="C101" s="111"/>
      <c r="D101" s="111"/>
      <c r="E101" s="111"/>
      <c r="F101" s="111"/>
      <c r="G101" s="111"/>
      <c r="H101" s="111"/>
      <c r="I101" s="111"/>
      <c r="J101" s="111"/>
      <c r="K101" s="112"/>
    </row>
    <row r="102" spans="1:11" ht="41.4" x14ac:dyDescent="0.3">
      <c r="A102" s="105" t="s">
        <v>7</v>
      </c>
      <c r="B102" s="1">
        <v>1</v>
      </c>
      <c r="C102" s="1" t="s">
        <v>104</v>
      </c>
      <c r="D102" s="1">
        <v>0</v>
      </c>
      <c r="E102" s="62">
        <f t="shared" si="2"/>
        <v>0</v>
      </c>
      <c r="F102" s="1">
        <v>5</v>
      </c>
      <c r="G102" s="62">
        <f t="shared" si="2"/>
        <v>25</v>
      </c>
      <c r="H102" s="1">
        <v>2</v>
      </c>
      <c r="I102" s="62">
        <f t="shared" si="2"/>
        <v>10</v>
      </c>
      <c r="J102" s="1">
        <v>13</v>
      </c>
      <c r="K102" s="67">
        <f t="shared" si="2"/>
        <v>65</v>
      </c>
    </row>
    <row r="103" spans="1:11" ht="41.4" x14ac:dyDescent="0.3">
      <c r="A103" s="106"/>
      <c r="B103" s="1">
        <v>2</v>
      </c>
      <c r="C103" s="1" t="s">
        <v>105</v>
      </c>
      <c r="D103" s="1">
        <v>0</v>
      </c>
      <c r="E103" s="62">
        <f t="shared" si="2"/>
        <v>0</v>
      </c>
      <c r="F103" s="1">
        <v>5</v>
      </c>
      <c r="G103" s="62">
        <f t="shared" si="2"/>
        <v>25</v>
      </c>
      <c r="H103" s="1">
        <v>5</v>
      </c>
      <c r="I103" s="62">
        <f t="shared" si="2"/>
        <v>25</v>
      </c>
      <c r="J103" s="1">
        <v>10</v>
      </c>
      <c r="K103" s="67">
        <f t="shared" si="2"/>
        <v>50</v>
      </c>
    </row>
    <row r="104" spans="1:11" ht="27.6" x14ac:dyDescent="0.3">
      <c r="A104" s="106"/>
      <c r="B104" s="1">
        <v>3</v>
      </c>
      <c r="C104" s="1" t="s">
        <v>106</v>
      </c>
      <c r="D104" s="1">
        <v>0</v>
      </c>
      <c r="E104" s="62">
        <f t="shared" si="2"/>
        <v>0</v>
      </c>
      <c r="F104" s="1">
        <v>5</v>
      </c>
      <c r="G104" s="62">
        <f t="shared" si="2"/>
        <v>25</v>
      </c>
      <c r="H104" s="1">
        <v>5</v>
      </c>
      <c r="I104" s="62">
        <f t="shared" si="2"/>
        <v>25</v>
      </c>
      <c r="J104" s="1">
        <v>10</v>
      </c>
      <c r="K104" s="67">
        <f t="shared" si="2"/>
        <v>50</v>
      </c>
    </row>
    <row r="105" spans="1:11" ht="41.4" x14ac:dyDescent="0.3">
      <c r="A105" s="106"/>
      <c r="B105" s="1">
        <v>4</v>
      </c>
      <c r="C105" s="1" t="s">
        <v>107</v>
      </c>
      <c r="D105" s="1">
        <v>0</v>
      </c>
      <c r="E105" s="62">
        <f t="shared" si="2"/>
        <v>0</v>
      </c>
      <c r="F105" s="1">
        <v>4</v>
      </c>
      <c r="G105" s="62">
        <f t="shared" si="2"/>
        <v>20</v>
      </c>
      <c r="H105" s="1">
        <v>2</v>
      </c>
      <c r="I105" s="62">
        <f t="shared" si="2"/>
        <v>10</v>
      </c>
      <c r="J105" s="1">
        <v>14</v>
      </c>
      <c r="K105" s="67">
        <f t="shared" si="2"/>
        <v>70</v>
      </c>
    </row>
    <row r="106" spans="1:11" ht="55.2" x14ac:dyDescent="0.3">
      <c r="A106" s="105" t="s">
        <v>157</v>
      </c>
      <c r="B106" s="1">
        <v>1</v>
      </c>
      <c r="C106" s="1" t="s">
        <v>108</v>
      </c>
      <c r="D106" s="1">
        <v>0</v>
      </c>
      <c r="E106" s="62">
        <f t="shared" si="2"/>
        <v>0</v>
      </c>
      <c r="F106" s="1">
        <v>4</v>
      </c>
      <c r="G106" s="62">
        <f t="shared" si="2"/>
        <v>20</v>
      </c>
      <c r="H106" s="1">
        <v>3</v>
      </c>
      <c r="I106" s="62">
        <f t="shared" si="2"/>
        <v>15</v>
      </c>
      <c r="J106" s="1">
        <v>13</v>
      </c>
      <c r="K106" s="67">
        <f t="shared" si="2"/>
        <v>65</v>
      </c>
    </row>
    <row r="107" spans="1:11" ht="41.4" x14ac:dyDescent="0.3">
      <c r="A107" s="106"/>
      <c r="B107" s="1">
        <v>2</v>
      </c>
      <c r="C107" s="1" t="s">
        <v>109</v>
      </c>
      <c r="D107" s="1">
        <v>1</v>
      </c>
      <c r="E107" s="62">
        <f t="shared" si="2"/>
        <v>5</v>
      </c>
      <c r="F107" s="1">
        <v>4</v>
      </c>
      <c r="G107" s="62">
        <f t="shared" si="2"/>
        <v>20</v>
      </c>
      <c r="H107" s="1">
        <v>5</v>
      </c>
      <c r="I107" s="62">
        <f t="shared" si="2"/>
        <v>25</v>
      </c>
      <c r="J107" s="1">
        <v>15</v>
      </c>
      <c r="K107" s="67">
        <f t="shared" si="2"/>
        <v>75</v>
      </c>
    </row>
    <row r="108" spans="1:11" ht="82.8" x14ac:dyDescent="0.3">
      <c r="A108" s="106"/>
      <c r="B108" s="1">
        <v>3</v>
      </c>
      <c r="C108" s="1" t="s">
        <v>110</v>
      </c>
      <c r="D108" s="1">
        <v>0</v>
      </c>
      <c r="E108" s="62">
        <f t="shared" si="2"/>
        <v>0</v>
      </c>
      <c r="F108" s="1">
        <v>5</v>
      </c>
      <c r="G108" s="62">
        <f t="shared" si="2"/>
        <v>25</v>
      </c>
      <c r="H108" s="1">
        <v>4</v>
      </c>
      <c r="I108" s="62">
        <f t="shared" si="2"/>
        <v>20</v>
      </c>
      <c r="J108" s="1">
        <v>11</v>
      </c>
      <c r="K108" s="67">
        <f t="shared" si="2"/>
        <v>55.000000000000007</v>
      </c>
    </row>
    <row r="109" spans="1:11" ht="69" x14ac:dyDescent="0.3">
      <c r="A109" s="106"/>
      <c r="B109" s="1">
        <v>4</v>
      </c>
      <c r="C109" s="1" t="s">
        <v>111</v>
      </c>
      <c r="D109" s="1">
        <v>0</v>
      </c>
      <c r="E109" s="62">
        <f t="shared" si="2"/>
        <v>0</v>
      </c>
      <c r="F109" s="1">
        <v>1</v>
      </c>
      <c r="G109" s="62">
        <f t="shared" si="2"/>
        <v>5</v>
      </c>
      <c r="H109" s="1">
        <v>1</v>
      </c>
      <c r="I109" s="62">
        <f t="shared" si="2"/>
        <v>5</v>
      </c>
      <c r="J109" s="1">
        <v>18</v>
      </c>
      <c r="K109" s="67">
        <f t="shared" si="2"/>
        <v>90</v>
      </c>
    </row>
    <row r="110" spans="1:11" ht="41.4" x14ac:dyDescent="0.3">
      <c r="A110" s="106"/>
      <c r="B110" s="1">
        <v>5</v>
      </c>
      <c r="C110" s="1" t="s">
        <v>112</v>
      </c>
      <c r="D110" s="1">
        <v>0</v>
      </c>
      <c r="E110" s="62">
        <f t="shared" si="2"/>
        <v>0</v>
      </c>
      <c r="F110" s="1">
        <v>7</v>
      </c>
      <c r="G110" s="62">
        <f t="shared" si="2"/>
        <v>35</v>
      </c>
      <c r="H110" s="1">
        <v>3</v>
      </c>
      <c r="I110" s="62">
        <f t="shared" si="2"/>
        <v>15</v>
      </c>
      <c r="J110" s="1">
        <v>10</v>
      </c>
      <c r="K110" s="67">
        <f t="shared" si="2"/>
        <v>50</v>
      </c>
    </row>
    <row r="111" spans="1:11" ht="27.6" x14ac:dyDescent="0.3">
      <c r="A111" s="105" t="s">
        <v>15</v>
      </c>
      <c r="B111" s="1">
        <v>1</v>
      </c>
      <c r="C111" s="1" t="s">
        <v>113</v>
      </c>
      <c r="D111" s="1">
        <v>0</v>
      </c>
      <c r="E111" s="62">
        <f t="shared" si="2"/>
        <v>0</v>
      </c>
      <c r="F111" s="1">
        <v>2</v>
      </c>
      <c r="G111" s="62">
        <f t="shared" si="2"/>
        <v>10</v>
      </c>
      <c r="H111" s="1">
        <v>2</v>
      </c>
      <c r="I111" s="62">
        <f t="shared" si="2"/>
        <v>10</v>
      </c>
      <c r="J111" s="1">
        <v>16</v>
      </c>
      <c r="K111" s="67">
        <f t="shared" si="2"/>
        <v>80</v>
      </c>
    </row>
    <row r="112" spans="1:11" ht="69" x14ac:dyDescent="0.3">
      <c r="A112" s="106"/>
      <c r="B112" s="1">
        <v>2</v>
      </c>
      <c r="C112" s="1" t="s">
        <v>114</v>
      </c>
      <c r="D112" s="1">
        <v>0</v>
      </c>
      <c r="E112" s="62">
        <f t="shared" si="2"/>
        <v>0</v>
      </c>
      <c r="F112" s="1">
        <v>8</v>
      </c>
      <c r="G112" s="62">
        <f t="shared" si="2"/>
        <v>40</v>
      </c>
      <c r="H112" s="1">
        <v>1</v>
      </c>
      <c r="I112" s="62">
        <f t="shared" si="2"/>
        <v>5</v>
      </c>
      <c r="J112" s="1">
        <v>11</v>
      </c>
      <c r="K112" s="67">
        <f t="shared" si="2"/>
        <v>55.000000000000007</v>
      </c>
    </row>
    <row r="113" spans="1:11" ht="41.4" x14ac:dyDescent="0.3">
      <c r="A113" s="106"/>
      <c r="B113" s="1">
        <v>3</v>
      </c>
      <c r="C113" s="1" t="s">
        <v>115</v>
      </c>
      <c r="D113" s="1">
        <v>0</v>
      </c>
      <c r="E113" s="62">
        <f t="shared" si="2"/>
        <v>0</v>
      </c>
      <c r="F113" s="1">
        <v>6</v>
      </c>
      <c r="G113" s="62">
        <f t="shared" si="2"/>
        <v>30</v>
      </c>
      <c r="H113" s="1">
        <v>2</v>
      </c>
      <c r="I113" s="62">
        <f t="shared" si="2"/>
        <v>10</v>
      </c>
      <c r="J113" s="1">
        <v>12</v>
      </c>
      <c r="K113" s="67">
        <f t="shared" si="2"/>
        <v>60</v>
      </c>
    </row>
    <row r="114" spans="1:11" ht="55.2" x14ac:dyDescent="0.3">
      <c r="A114" s="106"/>
      <c r="B114" s="1">
        <v>4</v>
      </c>
      <c r="C114" s="1" t="s">
        <v>116</v>
      </c>
      <c r="D114" s="1">
        <v>0</v>
      </c>
      <c r="E114" s="62">
        <f t="shared" si="2"/>
        <v>0</v>
      </c>
      <c r="F114" s="1">
        <v>1</v>
      </c>
      <c r="G114" s="62">
        <f t="shared" si="2"/>
        <v>5</v>
      </c>
      <c r="H114" s="1">
        <v>2</v>
      </c>
      <c r="I114" s="62">
        <f t="shared" si="2"/>
        <v>10</v>
      </c>
      <c r="J114" s="1">
        <v>17</v>
      </c>
      <c r="K114" s="67">
        <f t="shared" si="2"/>
        <v>85</v>
      </c>
    </row>
    <row r="115" spans="1:11" ht="41.4" x14ac:dyDescent="0.3">
      <c r="A115" s="113" t="s">
        <v>159</v>
      </c>
      <c r="B115" s="1">
        <v>1</v>
      </c>
      <c r="C115" s="1" t="s">
        <v>117</v>
      </c>
      <c r="D115" s="1">
        <v>0</v>
      </c>
      <c r="E115" s="62">
        <f t="shared" si="2"/>
        <v>0</v>
      </c>
      <c r="F115" s="1">
        <v>1</v>
      </c>
      <c r="G115" s="62">
        <f t="shared" si="2"/>
        <v>5</v>
      </c>
      <c r="H115" s="1">
        <v>4</v>
      </c>
      <c r="I115" s="62">
        <f t="shared" si="2"/>
        <v>20</v>
      </c>
      <c r="J115" s="1">
        <v>15</v>
      </c>
      <c r="K115" s="67">
        <f t="shared" si="2"/>
        <v>75</v>
      </c>
    </row>
    <row r="116" spans="1:11" ht="41.4" x14ac:dyDescent="0.3">
      <c r="A116" s="114"/>
      <c r="B116" s="1">
        <v>2</v>
      </c>
      <c r="C116" s="1" t="s">
        <v>118</v>
      </c>
      <c r="D116" s="1">
        <v>0</v>
      </c>
      <c r="E116" s="62">
        <f t="shared" si="2"/>
        <v>0</v>
      </c>
      <c r="F116" s="1">
        <v>0</v>
      </c>
      <c r="G116" s="62">
        <f t="shared" si="2"/>
        <v>0</v>
      </c>
      <c r="H116" s="1">
        <v>3</v>
      </c>
      <c r="I116" s="62">
        <f t="shared" si="2"/>
        <v>15</v>
      </c>
      <c r="J116" s="1">
        <v>17</v>
      </c>
      <c r="K116" s="67">
        <f t="shared" si="2"/>
        <v>85</v>
      </c>
    </row>
    <row r="117" spans="1:11" ht="55.2" x14ac:dyDescent="0.3">
      <c r="A117" s="114"/>
      <c r="B117" s="1">
        <v>3</v>
      </c>
      <c r="C117" s="1" t="s">
        <v>119</v>
      </c>
      <c r="D117" s="1">
        <v>0</v>
      </c>
      <c r="E117" s="62">
        <f t="shared" si="2"/>
        <v>0</v>
      </c>
      <c r="F117" s="1">
        <v>1</v>
      </c>
      <c r="G117" s="62">
        <f t="shared" si="2"/>
        <v>5</v>
      </c>
      <c r="H117" s="1">
        <v>9</v>
      </c>
      <c r="I117" s="62">
        <f t="shared" si="2"/>
        <v>45</v>
      </c>
      <c r="J117" s="1">
        <v>10</v>
      </c>
      <c r="K117" s="67">
        <f t="shared" si="2"/>
        <v>50</v>
      </c>
    </row>
    <row r="118" spans="1:11" ht="69" x14ac:dyDescent="0.3">
      <c r="A118" s="114"/>
      <c r="B118" s="1">
        <v>4</v>
      </c>
      <c r="C118" s="1" t="s">
        <v>120</v>
      </c>
      <c r="D118" s="1">
        <v>0</v>
      </c>
      <c r="E118" s="62">
        <f t="shared" si="2"/>
        <v>0</v>
      </c>
      <c r="F118" s="1">
        <v>2</v>
      </c>
      <c r="G118" s="62">
        <f t="shared" si="2"/>
        <v>10</v>
      </c>
      <c r="H118" s="1">
        <v>5</v>
      </c>
      <c r="I118" s="62">
        <f t="shared" si="2"/>
        <v>25</v>
      </c>
      <c r="J118" s="1">
        <v>13</v>
      </c>
      <c r="K118" s="67">
        <f t="shared" si="2"/>
        <v>65</v>
      </c>
    </row>
    <row r="119" spans="1:11" ht="41.4" x14ac:dyDescent="0.3">
      <c r="A119" s="114"/>
      <c r="B119" s="1">
        <v>5</v>
      </c>
      <c r="C119" s="1" t="s">
        <v>121</v>
      </c>
      <c r="D119" s="1">
        <v>0</v>
      </c>
      <c r="E119" s="62">
        <f t="shared" si="2"/>
        <v>0</v>
      </c>
      <c r="F119" s="1">
        <v>0</v>
      </c>
      <c r="G119" s="62">
        <f t="shared" si="2"/>
        <v>0</v>
      </c>
      <c r="H119" s="1">
        <v>2</v>
      </c>
      <c r="I119" s="62">
        <f t="shared" si="2"/>
        <v>10</v>
      </c>
      <c r="J119" s="1">
        <v>18</v>
      </c>
      <c r="K119" s="67">
        <f t="shared" si="2"/>
        <v>90</v>
      </c>
    </row>
    <row r="120" spans="1:11" ht="96.6" x14ac:dyDescent="0.3">
      <c r="A120" s="114"/>
      <c r="B120" s="1">
        <v>6</v>
      </c>
      <c r="C120" s="1" t="s">
        <v>122</v>
      </c>
      <c r="D120" s="1">
        <v>0</v>
      </c>
      <c r="E120" s="62">
        <f t="shared" si="2"/>
        <v>0</v>
      </c>
      <c r="F120" s="1">
        <v>2</v>
      </c>
      <c r="G120" s="62">
        <f t="shared" si="2"/>
        <v>10</v>
      </c>
      <c r="H120" s="1">
        <v>3</v>
      </c>
      <c r="I120" s="62">
        <f t="shared" si="2"/>
        <v>15</v>
      </c>
      <c r="J120" s="1">
        <v>15</v>
      </c>
      <c r="K120" s="67">
        <f t="shared" si="2"/>
        <v>75</v>
      </c>
    </row>
    <row r="121" spans="1:11" ht="96.6" x14ac:dyDescent="0.3">
      <c r="A121" s="114"/>
      <c r="B121" s="1">
        <v>7</v>
      </c>
      <c r="C121" s="1" t="s">
        <v>123</v>
      </c>
      <c r="D121" s="1">
        <v>0</v>
      </c>
      <c r="E121" s="62">
        <f t="shared" si="2"/>
        <v>0</v>
      </c>
      <c r="F121" s="1">
        <v>3</v>
      </c>
      <c r="G121" s="62">
        <f t="shared" si="2"/>
        <v>15</v>
      </c>
      <c r="H121" s="1">
        <v>1</v>
      </c>
      <c r="I121" s="62">
        <f t="shared" si="2"/>
        <v>5</v>
      </c>
      <c r="J121" s="1">
        <v>16</v>
      </c>
      <c r="K121" s="67">
        <f t="shared" si="2"/>
        <v>80</v>
      </c>
    </row>
    <row r="122" spans="1:11" ht="27.6" x14ac:dyDescent="0.3">
      <c r="A122" s="114"/>
      <c r="B122" s="1">
        <v>8</v>
      </c>
      <c r="C122" s="1" t="s">
        <v>124</v>
      </c>
      <c r="D122" s="1">
        <v>0</v>
      </c>
      <c r="E122" s="62">
        <f t="shared" ref="E122:K134" si="3">(D122/20)*100</f>
        <v>0</v>
      </c>
      <c r="F122" s="1">
        <v>1</v>
      </c>
      <c r="G122" s="62">
        <f t="shared" si="3"/>
        <v>5</v>
      </c>
      <c r="H122" s="1">
        <v>3</v>
      </c>
      <c r="I122" s="62">
        <f t="shared" si="3"/>
        <v>15</v>
      </c>
      <c r="J122" s="1">
        <v>16</v>
      </c>
      <c r="K122" s="67">
        <f t="shared" si="3"/>
        <v>80</v>
      </c>
    </row>
    <row r="123" spans="1:11" ht="41.4" x14ac:dyDescent="0.3">
      <c r="A123" s="105" t="s">
        <v>26</v>
      </c>
      <c r="B123" s="1">
        <v>1</v>
      </c>
      <c r="C123" s="1" t="s">
        <v>125</v>
      </c>
      <c r="D123" s="1">
        <v>0</v>
      </c>
      <c r="E123" s="62">
        <f t="shared" si="3"/>
        <v>0</v>
      </c>
      <c r="F123" s="1">
        <v>5</v>
      </c>
      <c r="G123" s="62">
        <f t="shared" si="3"/>
        <v>25</v>
      </c>
      <c r="H123" s="1">
        <v>2</v>
      </c>
      <c r="I123" s="62">
        <f t="shared" si="3"/>
        <v>10</v>
      </c>
      <c r="J123" s="1">
        <v>13</v>
      </c>
      <c r="K123" s="67">
        <f t="shared" si="3"/>
        <v>65</v>
      </c>
    </row>
    <row r="124" spans="1:11" ht="41.4" x14ac:dyDescent="0.3">
      <c r="A124" s="106"/>
      <c r="B124" s="1">
        <v>2</v>
      </c>
      <c r="C124" s="1" t="s">
        <v>126</v>
      </c>
      <c r="D124" s="1">
        <v>0</v>
      </c>
      <c r="E124" s="62">
        <f t="shared" si="3"/>
        <v>0</v>
      </c>
      <c r="F124" s="1">
        <v>0</v>
      </c>
      <c r="G124" s="62">
        <f t="shared" si="3"/>
        <v>0</v>
      </c>
      <c r="H124" s="1">
        <v>6</v>
      </c>
      <c r="I124" s="62">
        <f t="shared" si="3"/>
        <v>30</v>
      </c>
      <c r="J124" s="1">
        <v>14</v>
      </c>
      <c r="K124" s="67">
        <f t="shared" si="3"/>
        <v>70</v>
      </c>
    </row>
    <row r="125" spans="1:11" ht="41.4" x14ac:dyDescent="0.3">
      <c r="A125" s="106"/>
      <c r="B125" s="1">
        <v>3</v>
      </c>
      <c r="C125" s="1" t="s">
        <v>127</v>
      </c>
      <c r="D125" s="1">
        <v>0</v>
      </c>
      <c r="E125" s="62">
        <f t="shared" si="3"/>
        <v>0</v>
      </c>
      <c r="F125" s="1">
        <v>4</v>
      </c>
      <c r="G125" s="62">
        <f t="shared" si="3"/>
        <v>20</v>
      </c>
      <c r="H125" s="1">
        <v>6</v>
      </c>
      <c r="I125" s="62">
        <f t="shared" si="3"/>
        <v>30</v>
      </c>
      <c r="J125" s="1">
        <v>15</v>
      </c>
      <c r="K125" s="67">
        <f t="shared" si="3"/>
        <v>75</v>
      </c>
    </row>
    <row r="126" spans="1:11" ht="41.4" x14ac:dyDescent="0.3">
      <c r="A126" s="106"/>
      <c r="B126" s="1">
        <v>4</v>
      </c>
      <c r="C126" s="1" t="s">
        <v>128</v>
      </c>
      <c r="D126" s="1">
        <v>0</v>
      </c>
      <c r="E126" s="62">
        <f t="shared" si="3"/>
        <v>0</v>
      </c>
      <c r="F126" s="1">
        <v>0</v>
      </c>
      <c r="G126" s="62">
        <f t="shared" si="3"/>
        <v>0</v>
      </c>
      <c r="H126" s="1">
        <v>5</v>
      </c>
      <c r="I126" s="62">
        <f t="shared" si="3"/>
        <v>25</v>
      </c>
      <c r="J126" s="1">
        <v>15</v>
      </c>
      <c r="K126" s="67">
        <f t="shared" si="3"/>
        <v>75</v>
      </c>
    </row>
    <row r="127" spans="1:11" ht="82.8" x14ac:dyDescent="0.3">
      <c r="A127" s="106"/>
      <c r="B127" s="1">
        <v>5</v>
      </c>
      <c r="C127" s="1" t="s">
        <v>129</v>
      </c>
      <c r="D127" s="1">
        <v>2</v>
      </c>
      <c r="E127" s="62">
        <f t="shared" si="3"/>
        <v>10</v>
      </c>
      <c r="F127" s="1">
        <v>6</v>
      </c>
      <c r="G127" s="62">
        <f t="shared" si="3"/>
        <v>30</v>
      </c>
      <c r="H127" s="1">
        <v>1</v>
      </c>
      <c r="I127" s="62">
        <f t="shared" si="3"/>
        <v>5</v>
      </c>
      <c r="J127" s="1">
        <v>11</v>
      </c>
      <c r="K127" s="67">
        <f t="shared" si="3"/>
        <v>55.000000000000007</v>
      </c>
    </row>
    <row r="128" spans="1:11" ht="55.2" x14ac:dyDescent="0.3">
      <c r="A128" s="106"/>
      <c r="B128" s="1">
        <v>6</v>
      </c>
      <c r="C128" s="1" t="s">
        <v>130</v>
      </c>
      <c r="D128" s="1">
        <v>0</v>
      </c>
      <c r="E128" s="62">
        <f t="shared" si="3"/>
        <v>0</v>
      </c>
      <c r="F128" s="1">
        <v>5</v>
      </c>
      <c r="G128" s="62">
        <f t="shared" si="3"/>
        <v>25</v>
      </c>
      <c r="H128" s="1">
        <v>4</v>
      </c>
      <c r="I128" s="62">
        <f t="shared" si="3"/>
        <v>20</v>
      </c>
      <c r="J128" s="1">
        <v>11</v>
      </c>
      <c r="K128" s="67">
        <f t="shared" si="3"/>
        <v>55.000000000000007</v>
      </c>
    </row>
    <row r="129" spans="1:11" ht="41.4" x14ac:dyDescent="0.3">
      <c r="A129" s="106"/>
      <c r="B129" s="1">
        <v>7</v>
      </c>
      <c r="C129" s="1" t="s">
        <v>131</v>
      </c>
      <c r="D129" s="1">
        <v>2</v>
      </c>
      <c r="E129" s="62">
        <f t="shared" si="3"/>
        <v>10</v>
      </c>
      <c r="F129" s="1">
        <v>4</v>
      </c>
      <c r="G129" s="62">
        <f t="shared" si="3"/>
        <v>20</v>
      </c>
      <c r="H129" s="1">
        <v>3</v>
      </c>
      <c r="I129" s="62">
        <f t="shared" si="3"/>
        <v>15</v>
      </c>
      <c r="J129" s="1">
        <v>11</v>
      </c>
      <c r="K129" s="67">
        <f t="shared" si="3"/>
        <v>55.000000000000007</v>
      </c>
    </row>
    <row r="130" spans="1:11" ht="96.6" x14ac:dyDescent="0.3">
      <c r="A130" s="105" t="s">
        <v>33</v>
      </c>
      <c r="B130" s="1">
        <v>1</v>
      </c>
      <c r="C130" s="1" t="s">
        <v>132</v>
      </c>
      <c r="D130" s="1">
        <v>2</v>
      </c>
      <c r="E130" s="62">
        <f t="shared" si="3"/>
        <v>10</v>
      </c>
      <c r="F130" s="1">
        <v>1</v>
      </c>
      <c r="G130" s="62">
        <f t="shared" si="3"/>
        <v>5</v>
      </c>
      <c r="H130" s="1">
        <v>3</v>
      </c>
      <c r="I130" s="62">
        <f t="shared" si="3"/>
        <v>15</v>
      </c>
      <c r="J130" s="1">
        <v>14</v>
      </c>
      <c r="K130" s="67">
        <f t="shared" si="3"/>
        <v>70</v>
      </c>
    </row>
    <row r="131" spans="1:11" ht="55.2" x14ac:dyDescent="0.3">
      <c r="A131" s="106"/>
      <c r="B131" s="1">
        <v>2</v>
      </c>
      <c r="C131" s="1" t="s">
        <v>133</v>
      </c>
      <c r="D131" s="1">
        <v>1</v>
      </c>
      <c r="E131" s="62">
        <f t="shared" si="3"/>
        <v>5</v>
      </c>
      <c r="F131" s="1">
        <v>4</v>
      </c>
      <c r="G131" s="62">
        <f t="shared" si="3"/>
        <v>20</v>
      </c>
      <c r="H131" s="1">
        <v>5</v>
      </c>
      <c r="I131" s="62">
        <f t="shared" si="3"/>
        <v>25</v>
      </c>
      <c r="J131" s="1">
        <v>10</v>
      </c>
      <c r="K131" s="67">
        <f t="shared" si="3"/>
        <v>50</v>
      </c>
    </row>
    <row r="132" spans="1:11" ht="96.6" x14ac:dyDescent="0.3">
      <c r="A132" s="106"/>
      <c r="B132" s="1">
        <v>3</v>
      </c>
      <c r="C132" s="1" t="s">
        <v>134</v>
      </c>
      <c r="D132" s="1">
        <v>0</v>
      </c>
      <c r="E132" s="62">
        <f t="shared" si="3"/>
        <v>0</v>
      </c>
      <c r="F132" s="1">
        <v>2</v>
      </c>
      <c r="G132" s="62">
        <f t="shared" si="3"/>
        <v>10</v>
      </c>
      <c r="H132" s="1">
        <v>8</v>
      </c>
      <c r="I132" s="62">
        <f t="shared" si="3"/>
        <v>40</v>
      </c>
      <c r="J132" s="1">
        <v>10</v>
      </c>
      <c r="K132" s="67">
        <f t="shared" si="3"/>
        <v>50</v>
      </c>
    </row>
    <row r="133" spans="1:11" ht="69" x14ac:dyDescent="0.3">
      <c r="A133" s="106"/>
      <c r="B133" s="1">
        <v>4</v>
      </c>
      <c r="C133" s="1" t="s">
        <v>135</v>
      </c>
      <c r="D133" s="1">
        <v>1</v>
      </c>
      <c r="E133" s="62">
        <f t="shared" si="3"/>
        <v>5</v>
      </c>
      <c r="F133" s="1">
        <v>4</v>
      </c>
      <c r="G133" s="62">
        <f t="shared" si="3"/>
        <v>20</v>
      </c>
      <c r="H133" s="1">
        <v>3</v>
      </c>
      <c r="I133" s="62">
        <f t="shared" si="3"/>
        <v>15</v>
      </c>
      <c r="J133" s="1">
        <v>12</v>
      </c>
      <c r="K133" s="67">
        <f t="shared" si="3"/>
        <v>60</v>
      </c>
    </row>
    <row r="134" spans="1:11" ht="69.599999999999994" thickBot="1" x14ac:dyDescent="0.35">
      <c r="A134" s="107"/>
      <c r="B134" s="65">
        <v>5</v>
      </c>
      <c r="C134" s="65" t="s">
        <v>136</v>
      </c>
      <c r="D134" s="65">
        <v>1</v>
      </c>
      <c r="E134" s="68">
        <f t="shared" si="3"/>
        <v>5</v>
      </c>
      <c r="F134" s="65">
        <v>2</v>
      </c>
      <c r="G134" s="68">
        <f t="shared" si="3"/>
        <v>10</v>
      </c>
      <c r="H134" s="65">
        <v>9</v>
      </c>
      <c r="I134" s="68">
        <f t="shared" si="3"/>
        <v>45</v>
      </c>
      <c r="J134" s="65">
        <v>8</v>
      </c>
      <c r="K134" s="69">
        <f t="shared" si="3"/>
        <v>40</v>
      </c>
    </row>
  </sheetData>
  <autoFilter ref="A6:K134" xr:uid="{80F67F2A-186C-4884-A62D-D8363A44A805}"/>
  <mergeCells count="32">
    <mergeCell ref="A8:A9"/>
    <mergeCell ref="A2:K3"/>
    <mergeCell ref="A5:A6"/>
    <mergeCell ref="B5:B6"/>
    <mergeCell ref="C5:C6"/>
    <mergeCell ref="A58:A62"/>
    <mergeCell ref="A10:A14"/>
    <mergeCell ref="A15:A18"/>
    <mergeCell ref="A19:A24"/>
    <mergeCell ref="A25:A30"/>
    <mergeCell ref="A31:A35"/>
    <mergeCell ref="A37:A38"/>
    <mergeCell ref="A39:A42"/>
    <mergeCell ref="A43:A44"/>
    <mergeCell ref="A45:A48"/>
    <mergeCell ref="A49:A57"/>
    <mergeCell ref="A130:A134"/>
    <mergeCell ref="D5:K5"/>
    <mergeCell ref="A7:K7"/>
    <mergeCell ref="A63:K63"/>
    <mergeCell ref="A36:K36"/>
    <mergeCell ref="A101:K101"/>
    <mergeCell ref="A102:A105"/>
    <mergeCell ref="A106:A110"/>
    <mergeCell ref="A111:A114"/>
    <mergeCell ref="A115:A122"/>
    <mergeCell ref="A123:A129"/>
    <mergeCell ref="A65:A70"/>
    <mergeCell ref="A71:A76"/>
    <mergeCell ref="A77:A84"/>
    <mergeCell ref="A85:A94"/>
    <mergeCell ref="A95:A100"/>
  </mergeCells>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Current Level of Government Sys</vt:lpstr>
      <vt:lpstr>IT Maturity Level</vt:lpstr>
      <vt:lpstr>'Current Level of Government Sys'!OLE_LINK1</vt:lpstr>
      <vt:lpstr>'IT Maturity Level'!OLE_LINK1</vt:lpstr>
      <vt:lpstr>'Current Level of Government Sys'!OLE_LINK2</vt:lpstr>
      <vt:lpstr>'IT Maturity Level'!OLE_LINK2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Harvey</dc:creator>
  <cp:lastModifiedBy>Owen Harvey  Balocon</cp:lastModifiedBy>
  <cp:lastPrinted>2023-08-21T01:16:48Z</cp:lastPrinted>
  <dcterms:created xsi:type="dcterms:W3CDTF">2023-07-04T03:48:20Z</dcterms:created>
  <dcterms:modified xsi:type="dcterms:W3CDTF">2026-01-15T02:55:28Z</dcterms:modified>
</cp:coreProperties>
</file>